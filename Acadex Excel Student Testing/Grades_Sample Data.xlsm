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yav\OneDrive\Desktop\"/>
    </mc:Choice>
  </mc:AlternateContent>
  <bookViews>
    <workbookView xWindow="0" yWindow="0" windowWidth="20490" windowHeight="7755" tabRatio="675" activeTab="1"/>
  </bookViews>
  <sheets>
    <sheet name="Subject_Info" sheetId="8" r:id="rId1"/>
    <sheet name="Record" sheetId="7" r:id="rId2"/>
    <sheet name="Prelim" sheetId="1" r:id="rId3"/>
    <sheet name="Midterm" sheetId="12" r:id="rId4"/>
    <sheet name="Prefinal" sheetId="13" r:id="rId5"/>
    <sheet name="Final" sheetId="14" r:id="rId6"/>
    <sheet name="Average_Final" sheetId="6" r:id="rId7"/>
  </sheets>
  <externalReferences>
    <externalReference r:id="rId8"/>
  </externalReferences>
  <definedNames>
    <definedName name="_xlnm.Print_Area" localSheetId="6">Average_Final!$A$1:$Z$37</definedName>
    <definedName name="_xlnm.Print_Area" localSheetId="5">Final!$A$1:$AB$37</definedName>
    <definedName name="_xlnm.Print_Area" localSheetId="3">Midterm!$A$1:$AB$37</definedName>
    <definedName name="_xlnm.Print_Area" localSheetId="4">Prefinal!$A$1:$AB$37</definedName>
    <definedName name="_xlnm.Print_Area" localSheetId="2">Prelim!$A$1:$AB$37</definedName>
    <definedName name="_xlnm.Print_Area" localSheetId="1">Record!$A$1:$BC$16</definedName>
    <definedName name="_xlnm.Print_Area" localSheetId="0">Subject_Info!$A$1:$B$6</definedName>
    <definedName name="_xlnm.Print_Titles" localSheetId="5">Final!$1:$11</definedName>
    <definedName name="_xlnm.Print_Titles" localSheetId="3">Midterm!$1:$11</definedName>
    <definedName name="_xlnm.Print_Titles" localSheetId="4">Prefinal!$1:$11</definedName>
    <definedName name="_xlnm.Print_Titles" localSheetId="2">Prelim!$1:$11</definedName>
    <definedName name="_xlnm.Print_Titles" localSheetId="1">Record!$1:$4</definedName>
    <definedName name="_xlnm.Print_Titles" localSheetId="0">Subject_Info!$1:$6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4" l="1"/>
  <c r="H20" i="14" s="1"/>
  <c r="D20" i="14"/>
  <c r="I20" i="14" s="1"/>
  <c r="E20" i="14"/>
  <c r="J20" i="14" s="1"/>
  <c r="F20" i="14"/>
  <c r="K20" i="14" s="1"/>
  <c r="G20" i="14"/>
  <c r="L20" i="14" s="1"/>
  <c r="N20" i="14"/>
  <c r="S20" i="14" s="1"/>
  <c r="O20" i="14"/>
  <c r="T20" i="14" s="1"/>
  <c r="P20" i="14"/>
  <c r="U20" i="14" s="1"/>
  <c r="Q20" i="14"/>
  <c r="V20" i="14" s="1"/>
  <c r="R20" i="14"/>
  <c r="W20" i="14" s="1"/>
  <c r="Y20" i="14"/>
  <c r="Z20" i="14" s="1"/>
  <c r="C20" i="13"/>
  <c r="H20" i="13" s="1"/>
  <c r="D20" i="13"/>
  <c r="I20" i="13" s="1"/>
  <c r="E20" i="13"/>
  <c r="J20" i="13" s="1"/>
  <c r="F20" i="13"/>
  <c r="K20" i="13" s="1"/>
  <c r="G20" i="13"/>
  <c r="L20" i="13" s="1"/>
  <c r="N20" i="13"/>
  <c r="S20" i="13" s="1"/>
  <c r="O20" i="13"/>
  <c r="T20" i="13" s="1"/>
  <c r="P20" i="13"/>
  <c r="U20" i="13" s="1"/>
  <c r="Q20" i="13"/>
  <c r="V20" i="13" s="1"/>
  <c r="R20" i="13"/>
  <c r="W20" i="13" s="1"/>
  <c r="Y20" i="13"/>
  <c r="M20" i="14" l="1"/>
  <c r="X20" i="13"/>
  <c r="X20" i="14"/>
  <c r="M20" i="13"/>
  <c r="AA20" i="14" l="1"/>
  <c r="AB20" i="14" s="1"/>
  <c r="C16" i="14"/>
  <c r="D16" i="14"/>
  <c r="E16" i="14"/>
  <c r="F16" i="14"/>
  <c r="K16" i="14" s="1"/>
  <c r="G16" i="14"/>
  <c r="L16" i="14" s="1"/>
  <c r="N16" i="14"/>
  <c r="O16" i="14"/>
  <c r="P16" i="14"/>
  <c r="Q16" i="14"/>
  <c r="V16" i="14" s="1"/>
  <c r="R16" i="14"/>
  <c r="W16" i="14" s="1"/>
  <c r="Y16" i="14"/>
  <c r="C17" i="14"/>
  <c r="D17" i="14"/>
  <c r="E17" i="14"/>
  <c r="F17" i="14"/>
  <c r="K17" i="14" s="1"/>
  <c r="G17" i="14"/>
  <c r="L17" i="14" s="1"/>
  <c r="N17" i="14"/>
  <c r="O17" i="14"/>
  <c r="P17" i="14"/>
  <c r="Q17" i="14"/>
  <c r="V17" i="14" s="1"/>
  <c r="R17" i="14"/>
  <c r="W17" i="14" s="1"/>
  <c r="Y17" i="14"/>
  <c r="C18" i="14"/>
  <c r="D18" i="14"/>
  <c r="E18" i="14"/>
  <c r="F18" i="14"/>
  <c r="K18" i="14" s="1"/>
  <c r="G18" i="14"/>
  <c r="L18" i="14" s="1"/>
  <c r="N18" i="14"/>
  <c r="O18" i="14"/>
  <c r="P18" i="14"/>
  <c r="Q18" i="14"/>
  <c r="V18" i="14" s="1"/>
  <c r="R18" i="14"/>
  <c r="W18" i="14" s="1"/>
  <c r="Y18" i="14"/>
  <c r="C19" i="14"/>
  <c r="D19" i="14"/>
  <c r="E19" i="14"/>
  <c r="F19" i="14"/>
  <c r="K19" i="14" s="1"/>
  <c r="G19" i="14"/>
  <c r="L19" i="14" s="1"/>
  <c r="N19" i="14"/>
  <c r="O19" i="14"/>
  <c r="P19" i="14"/>
  <c r="Q19" i="14"/>
  <c r="V19" i="14" s="1"/>
  <c r="R19" i="14"/>
  <c r="W19" i="14" s="1"/>
  <c r="Y19" i="14"/>
  <c r="C21" i="14"/>
  <c r="D21" i="14"/>
  <c r="E21" i="14"/>
  <c r="F21" i="14"/>
  <c r="K21" i="14" s="1"/>
  <c r="G21" i="14"/>
  <c r="L21" i="14" s="1"/>
  <c r="N21" i="14"/>
  <c r="O21" i="14"/>
  <c r="P21" i="14"/>
  <c r="Q21" i="14"/>
  <c r="V21" i="14" s="1"/>
  <c r="R21" i="14"/>
  <c r="W21" i="14" s="1"/>
  <c r="Y21" i="14"/>
  <c r="C22" i="14"/>
  <c r="D22" i="14"/>
  <c r="E22" i="14"/>
  <c r="F22" i="14"/>
  <c r="K22" i="14" s="1"/>
  <c r="G22" i="14"/>
  <c r="L22" i="14" s="1"/>
  <c r="N22" i="14"/>
  <c r="O22" i="14"/>
  <c r="P22" i="14"/>
  <c r="Q22" i="14"/>
  <c r="V22" i="14" s="1"/>
  <c r="R22" i="14"/>
  <c r="W22" i="14" s="1"/>
  <c r="Y22" i="14"/>
  <c r="C18" i="13" l="1"/>
  <c r="D18" i="13"/>
  <c r="E18" i="13"/>
  <c r="F18" i="13"/>
  <c r="K18" i="13" s="1"/>
  <c r="G18" i="13"/>
  <c r="L18" i="13" s="1"/>
  <c r="N18" i="13"/>
  <c r="O18" i="13"/>
  <c r="P18" i="13"/>
  <c r="Q18" i="13"/>
  <c r="V18" i="13" s="1"/>
  <c r="R18" i="13"/>
  <c r="W18" i="13" s="1"/>
  <c r="Y18" i="13"/>
  <c r="C19" i="13"/>
  <c r="D19" i="13"/>
  <c r="E19" i="13"/>
  <c r="F19" i="13"/>
  <c r="K19" i="13" s="1"/>
  <c r="G19" i="13"/>
  <c r="L19" i="13" s="1"/>
  <c r="N19" i="13"/>
  <c r="O19" i="13"/>
  <c r="P19" i="13"/>
  <c r="Q19" i="13"/>
  <c r="V19" i="13" s="1"/>
  <c r="R19" i="13"/>
  <c r="W19" i="13" s="1"/>
  <c r="Y19" i="13"/>
  <c r="C21" i="13"/>
  <c r="D21" i="13"/>
  <c r="E21" i="13"/>
  <c r="F21" i="13"/>
  <c r="K21" i="13" s="1"/>
  <c r="G21" i="13"/>
  <c r="L21" i="13" s="1"/>
  <c r="N21" i="13"/>
  <c r="O21" i="13"/>
  <c r="P21" i="13"/>
  <c r="Q21" i="13"/>
  <c r="V21" i="13" s="1"/>
  <c r="R21" i="13"/>
  <c r="W21" i="13" s="1"/>
  <c r="Y21" i="13"/>
  <c r="C22" i="13"/>
  <c r="D22" i="13"/>
  <c r="E22" i="13"/>
  <c r="F22" i="13"/>
  <c r="K22" i="13" s="1"/>
  <c r="G22" i="13"/>
  <c r="L22" i="13" s="1"/>
  <c r="N22" i="13"/>
  <c r="O22" i="13"/>
  <c r="P22" i="13"/>
  <c r="Q22" i="13"/>
  <c r="V22" i="13" s="1"/>
  <c r="R22" i="13"/>
  <c r="W22" i="13" s="1"/>
  <c r="Y22" i="13"/>
  <c r="C18" i="12" l="1"/>
  <c r="D18" i="12"/>
  <c r="E18" i="12"/>
  <c r="F18" i="12"/>
  <c r="K18" i="12" s="1"/>
  <c r="G18" i="12"/>
  <c r="L18" i="12" s="1"/>
  <c r="N18" i="12"/>
  <c r="O18" i="12"/>
  <c r="P18" i="12"/>
  <c r="Q18" i="12"/>
  <c r="V18" i="12" s="1"/>
  <c r="R18" i="12"/>
  <c r="W18" i="12" s="1"/>
  <c r="Y18" i="12"/>
  <c r="C19" i="12"/>
  <c r="D19" i="12"/>
  <c r="E19" i="12"/>
  <c r="F19" i="12"/>
  <c r="K19" i="12" s="1"/>
  <c r="G19" i="12"/>
  <c r="L19" i="12" s="1"/>
  <c r="N19" i="12"/>
  <c r="O19" i="12"/>
  <c r="P19" i="12"/>
  <c r="Q19" i="12"/>
  <c r="V19" i="12" s="1"/>
  <c r="R19" i="12"/>
  <c r="W19" i="12" s="1"/>
  <c r="Y19" i="12"/>
  <c r="C20" i="12"/>
  <c r="D20" i="12"/>
  <c r="E20" i="12"/>
  <c r="F20" i="12"/>
  <c r="K20" i="12" s="1"/>
  <c r="G20" i="12"/>
  <c r="L20" i="12" s="1"/>
  <c r="N20" i="12"/>
  <c r="O20" i="12"/>
  <c r="P20" i="12"/>
  <c r="Q20" i="12"/>
  <c r="V20" i="12" s="1"/>
  <c r="R20" i="12"/>
  <c r="W20" i="12" s="1"/>
  <c r="Y20" i="12"/>
  <c r="C21" i="12"/>
  <c r="D21" i="12"/>
  <c r="E21" i="12"/>
  <c r="F21" i="12"/>
  <c r="K21" i="12" s="1"/>
  <c r="G21" i="12"/>
  <c r="L21" i="12" s="1"/>
  <c r="N21" i="12"/>
  <c r="O21" i="12"/>
  <c r="P21" i="12"/>
  <c r="Q21" i="12"/>
  <c r="V21" i="12" s="1"/>
  <c r="R21" i="12"/>
  <c r="W21" i="12" s="1"/>
  <c r="Y21" i="12"/>
  <c r="C22" i="12"/>
  <c r="D22" i="12"/>
  <c r="E22" i="12"/>
  <c r="F22" i="12"/>
  <c r="K22" i="12" s="1"/>
  <c r="G22" i="12"/>
  <c r="L22" i="12" s="1"/>
  <c r="N22" i="12"/>
  <c r="O22" i="12"/>
  <c r="P22" i="12"/>
  <c r="Q22" i="12"/>
  <c r="V22" i="12" s="1"/>
  <c r="R22" i="12"/>
  <c r="W22" i="12" s="1"/>
  <c r="Y22" i="12"/>
  <c r="C17" i="1" l="1"/>
  <c r="D17" i="1"/>
  <c r="E17" i="1"/>
  <c r="F17" i="1"/>
  <c r="K17" i="1" s="1"/>
  <c r="G17" i="1"/>
  <c r="L17" i="1" s="1"/>
  <c r="N17" i="1"/>
  <c r="O17" i="1"/>
  <c r="P17" i="1"/>
  <c r="Q17" i="1"/>
  <c r="R17" i="1"/>
  <c r="W17" i="1" s="1"/>
  <c r="Y17" i="1"/>
  <c r="C18" i="1"/>
  <c r="D18" i="1"/>
  <c r="E18" i="1"/>
  <c r="F18" i="1"/>
  <c r="K18" i="1" s="1"/>
  <c r="G18" i="1"/>
  <c r="L18" i="1" s="1"/>
  <c r="N18" i="1"/>
  <c r="O18" i="1"/>
  <c r="P18" i="1"/>
  <c r="Q18" i="1"/>
  <c r="R18" i="1"/>
  <c r="W18" i="1" s="1"/>
  <c r="Y18" i="1"/>
  <c r="C19" i="1"/>
  <c r="D19" i="1"/>
  <c r="E19" i="1"/>
  <c r="F19" i="1"/>
  <c r="K19" i="1" s="1"/>
  <c r="G19" i="1"/>
  <c r="L19" i="1" s="1"/>
  <c r="N19" i="1"/>
  <c r="O19" i="1"/>
  <c r="P19" i="1"/>
  <c r="Q19" i="1"/>
  <c r="R19" i="1"/>
  <c r="W19" i="1" s="1"/>
  <c r="Y19" i="1"/>
  <c r="C20" i="1"/>
  <c r="D20" i="1"/>
  <c r="E20" i="1"/>
  <c r="F20" i="1"/>
  <c r="K20" i="1" s="1"/>
  <c r="G20" i="1"/>
  <c r="L20" i="1" s="1"/>
  <c r="N20" i="1"/>
  <c r="O20" i="1"/>
  <c r="P20" i="1"/>
  <c r="Q20" i="1"/>
  <c r="R20" i="1"/>
  <c r="W20" i="1" s="1"/>
  <c r="Y20" i="1"/>
  <c r="C21" i="1"/>
  <c r="D21" i="1"/>
  <c r="E21" i="1"/>
  <c r="F21" i="1"/>
  <c r="K21" i="1" s="1"/>
  <c r="G21" i="1"/>
  <c r="L21" i="1" s="1"/>
  <c r="N21" i="1"/>
  <c r="O21" i="1"/>
  <c r="P21" i="1"/>
  <c r="Q21" i="1"/>
  <c r="R21" i="1"/>
  <c r="W21" i="1" s="1"/>
  <c r="Y21" i="1"/>
  <c r="C22" i="1"/>
  <c r="D22" i="1"/>
  <c r="E22" i="1"/>
  <c r="F22" i="1"/>
  <c r="K22" i="1" s="1"/>
  <c r="G22" i="1"/>
  <c r="L22" i="1" s="1"/>
  <c r="N22" i="1"/>
  <c r="O22" i="1"/>
  <c r="P22" i="1"/>
  <c r="Q22" i="1"/>
  <c r="R22" i="1"/>
  <c r="W22" i="1" s="1"/>
  <c r="Y22" i="1"/>
  <c r="A23" i="6" l="1"/>
  <c r="B23" i="6"/>
  <c r="C23" i="6"/>
  <c r="D23" i="6"/>
  <c r="E23" i="6"/>
  <c r="F23" i="6"/>
  <c r="G23" i="6"/>
  <c r="H23" i="6"/>
  <c r="I23" i="6"/>
  <c r="T36" i="13"/>
  <c r="F36" i="13"/>
  <c r="A36" i="13"/>
  <c r="T36" i="14"/>
  <c r="F36" i="14"/>
  <c r="A36" i="14"/>
  <c r="T36" i="12"/>
  <c r="F36" i="12"/>
  <c r="A36" i="12"/>
  <c r="B21" i="12"/>
  <c r="B22" i="12"/>
  <c r="B21" i="13"/>
  <c r="B22" i="13"/>
  <c r="B21" i="14"/>
  <c r="B22" i="14"/>
  <c r="B21" i="1"/>
  <c r="B22" i="1"/>
  <c r="A22" i="12"/>
  <c r="A22" i="13"/>
  <c r="A22" i="14"/>
  <c r="A22" i="1"/>
  <c r="A22" i="6" l="1"/>
  <c r="B22" i="6"/>
  <c r="C22" i="6"/>
  <c r="D22" i="6"/>
  <c r="E22" i="6"/>
  <c r="F22" i="6"/>
  <c r="G22" i="6"/>
  <c r="H22" i="6"/>
  <c r="I22" i="6"/>
  <c r="A19" i="6"/>
  <c r="A20" i="6"/>
  <c r="A21" i="6"/>
  <c r="B19" i="6"/>
  <c r="C19" i="6"/>
  <c r="D19" i="6"/>
  <c r="E19" i="6"/>
  <c r="F19" i="6"/>
  <c r="G19" i="6"/>
  <c r="H19" i="6"/>
  <c r="I19" i="6"/>
  <c r="B20" i="6"/>
  <c r="C20" i="6"/>
  <c r="D20" i="6"/>
  <c r="E20" i="6"/>
  <c r="F20" i="6"/>
  <c r="G20" i="6"/>
  <c r="H20" i="6"/>
  <c r="I20" i="6"/>
  <c r="B21" i="6"/>
  <c r="C21" i="6"/>
  <c r="D21" i="6"/>
  <c r="E21" i="6"/>
  <c r="F21" i="6"/>
  <c r="G21" i="6"/>
  <c r="H21" i="6"/>
  <c r="I21" i="6"/>
  <c r="A18" i="12"/>
  <c r="B18" i="12"/>
  <c r="A19" i="12"/>
  <c r="B19" i="12"/>
  <c r="A20" i="12"/>
  <c r="B20" i="12"/>
  <c r="A18" i="13"/>
  <c r="B18" i="13"/>
  <c r="A19" i="13"/>
  <c r="B19" i="13"/>
  <c r="A20" i="13"/>
  <c r="B20" i="13"/>
  <c r="A18" i="14"/>
  <c r="B18" i="14"/>
  <c r="A19" i="14"/>
  <c r="B19" i="14"/>
  <c r="A20" i="14"/>
  <c r="B20" i="14"/>
  <c r="A18" i="1"/>
  <c r="B18" i="1"/>
  <c r="A19" i="1"/>
  <c r="B19" i="1"/>
  <c r="A20" i="1"/>
  <c r="B20" i="1"/>
  <c r="F36" i="1" l="1"/>
  <c r="T36" i="1"/>
  <c r="A36" i="1"/>
  <c r="I18" i="6" l="1"/>
  <c r="H18" i="6"/>
  <c r="G18" i="6"/>
  <c r="F18" i="6"/>
  <c r="E18" i="6"/>
  <c r="D18" i="6"/>
  <c r="C18" i="6"/>
  <c r="B18" i="6"/>
  <c r="A18" i="6"/>
  <c r="A21" i="13"/>
  <c r="A21" i="14"/>
  <c r="A21" i="12"/>
  <c r="Y17" i="13"/>
  <c r="R17" i="13"/>
  <c r="W17" i="13" s="1"/>
  <c r="Q17" i="13"/>
  <c r="V17" i="13" s="1"/>
  <c r="P17" i="13"/>
  <c r="O17" i="13"/>
  <c r="N17" i="13"/>
  <c r="G17" i="13"/>
  <c r="L17" i="13" s="1"/>
  <c r="F17" i="13"/>
  <c r="K17" i="13" s="1"/>
  <c r="E17" i="13"/>
  <c r="D17" i="13"/>
  <c r="C17" i="13"/>
  <c r="B17" i="13"/>
  <c r="A17" i="13"/>
  <c r="B17" i="14"/>
  <c r="A17" i="14"/>
  <c r="Y17" i="12"/>
  <c r="R17" i="12"/>
  <c r="W17" i="12" s="1"/>
  <c r="Q17" i="12"/>
  <c r="V17" i="12" s="1"/>
  <c r="P17" i="12"/>
  <c r="O17" i="12"/>
  <c r="N17" i="12"/>
  <c r="G17" i="12"/>
  <c r="L17" i="12" s="1"/>
  <c r="F17" i="12"/>
  <c r="K17" i="12" s="1"/>
  <c r="E17" i="12"/>
  <c r="D17" i="12"/>
  <c r="C17" i="12"/>
  <c r="B17" i="12"/>
  <c r="A17" i="12"/>
  <c r="A21" i="1"/>
  <c r="B17" i="1"/>
  <c r="A17" i="1"/>
  <c r="C12" i="12" l="1"/>
  <c r="D12" i="12"/>
  <c r="C14" i="12" l="1"/>
  <c r="D14" i="12"/>
  <c r="E14" i="12"/>
  <c r="F14" i="12"/>
  <c r="G14" i="12"/>
  <c r="N14" i="12"/>
  <c r="O14" i="12"/>
  <c r="P14" i="12"/>
  <c r="Q14" i="12"/>
  <c r="R14" i="12"/>
  <c r="Y14" i="12"/>
  <c r="V14" i="12" l="1"/>
  <c r="L14" i="12"/>
  <c r="K14" i="12"/>
  <c r="W14" i="12"/>
  <c r="T36" i="6"/>
  <c r="Y11" i="1" l="1"/>
  <c r="Y15" i="1"/>
  <c r="R15" i="1"/>
  <c r="Q15" i="1"/>
  <c r="P15" i="1"/>
  <c r="O15" i="1"/>
  <c r="N15" i="1"/>
  <c r="G15" i="1"/>
  <c r="L15" i="1" s="1"/>
  <c r="F15" i="1"/>
  <c r="E15" i="1"/>
  <c r="D15" i="1"/>
  <c r="C15" i="1"/>
  <c r="Y13" i="1"/>
  <c r="R13" i="1"/>
  <c r="Q13" i="1"/>
  <c r="P13" i="1"/>
  <c r="O13" i="1"/>
  <c r="N13" i="1"/>
  <c r="G13" i="1"/>
  <c r="L13" i="1" s="1"/>
  <c r="F13" i="1"/>
  <c r="E13" i="1"/>
  <c r="D13" i="1"/>
  <c r="C13" i="1"/>
  <c r="Y12" i="1"/>
  <c r="R12" i="1"/>
  <c r="Q12" i="1"/>
  <c r="P12" i="1"/>
  <c r="O12" i="1"/>
  <c r="N12" i="1"/>
  <c r="G12" i="1"/>
  <c r="L12" i="1" s="1"/>
  <c r="F12" i="1"/>
  <c r="E12" i="1"/>
  <c r="D12" i="1"/>
  <c r="C12" i="1"/>
  <c r="Z19" i="1" l="1"/>
  <c r="Z18" i="1"/>
  <c r="Z22" i="1"/>
  <c r="Z21" i="1"/>
  <c r="Z17" i="1"/>
  <c r="Z20" i="1"/>
  <c r="Z12" i="1"/>
  <c r="Z13" i="1"/>
  <c r="Z15" i="1"/>
  <c r="A16" i="6" l="1"/>
  <c r="A17" i="6"/>
  <c r="B14" i="12"/>
  <c r="B15" i="12"/>
  <c r="B16" i="12"/>
  <c r="B14" i="13"/>
  <c r="B15" i="13"/>
  <c r="B16" i="13"/>
  <c r="B14" i="14"/>
  <c r="B15" i="14"/>
  <c r="B16" i="14"/>
  <c r="B14" i="1"/>
  <c r="B15" i="1"/>
  <c r="B16" i="1"/>
  <c r="A15" i="12"/>
  <c r="A16" i="12"/>
  <c r="A15" i="13"/>
  <c r="A16" i="13"/>
  <c r="A15" i="14"/>
  <c r="A16" i="14"/>
  <c r="A15" i="1"/>
  <c r="A16" i="1"/>
  <c r="A14" i="6"/>
  <c r="A15" i="6"/>
  <c r="I17" i="6" l="1"/>
  <c r="H17" i="6"/>
  <c r="G17" i="6"/>
  <c r="F17" i="6"/>
  <c r="E17" i="6"/>
  <c r="D17" i="6"/>
  <c r="C17" i="6"/>
  <c r="B17" i="6"/>
  <c r="I16" i="6"/>
  <c r="H16" i="6"/>
  <c r="G16" i="6"/>
  <c r="F16" i="6"/>
  <c r="E16" i="6"/>
  <c r="D16" i="6"/>
  <c r="C16" i="6"/>
  <c r="B16" i="6"/>
  <c r="I15" i="6"/>
  <c r="H15" i="6"/>
  <c r="G15" i="6"/>
  <c r="F15" i="6"/>
  <c r="E15" i="6"/>
  <c r="D15" i="6"/>
  <c r="C15" i="6"/>
  <c r="B15" i="6"/>
  <c r="I14" i="6"/>
  <c r="H14" i="6"/>
  <c r="G14" i="6"/>
  <c r="F14" i="6"/>
  <c r="E14" i="6"/>
  <c r="D14" i="6"/>
  <c r="C14" i="6"/>
  <c r="B14" i="6"/>
  <c r="I13" i="6"/>
  <c r="H13" i="6"/>
  <c r="G13" i="6"/>
  <c r="F13" i="6"/>
  <c r="E13" i="6"/>
  <c r="D13" i="6"/>
  <c r="C13" i="6"/>
  <c r="B13" i="6"/>
  <c r="B13" i="12"/>
  <c r="B12" i="12"/>
  <c r="B13" i="13"/>
  <c r="B12" i="13"/>
  <c r="B13" i="14"/>
  <c r="B12" i="14"/>
  <c r="B13" i="1"/>
  <c r="B12" i="1"/>
  <c r="Q6" i="6"/>
  <c r="M5" i="14"/>
  <c r="M5" i="13"/>
  <c r="M5" i="12"/>
  <c r="M5" i="1"/>
  <c r="A1" i="7"/>
  <c r="K36" i="6"/>
  <c r="A36" i="6"/>
  <c r="A24" i="6" l="1"/>
  <c r="A13" i="6"/>
  <c r="R15" i="14" l="1"/>
  <c r="Q15" i="14"/>
  <c r="P15" i="14"/>
  <c r="O15" i="14"/>
  <c r="N15" i="14"/>
  <c r="R14" i="14"/>
  <c r="Q14" i="14"/>
  <c r="P14" i="14"/>
  <c r="O14" i="14"/>
  <c r="N14" i="14"/>
  <c r="R13" i="14"/>
  <c r="Q13" i="14"/>
  <c r="P13" i="14"/>
  <c r="O13" i="14"/>
  <c r="N13" i="14"/>
  <c r="R12" i="14"/>
  <c r="Q12" i="14"/>
  <c r="P12" i="14"/>
  <c r="O12" i="14"/>
  <c r="N12" i="14"/>
  <c r="R11" i="14"/>
  <c r="Q11" i="14"/>
  <c r="P11" i="14"/>
  <c r="O11" i="14"/>
  <c r="R10" i="14"/>
  <c r="Q10" i="14"/>
  <c r="P10" i="14"/>
  <c r="O10" i="14"/>
  <c r="G15" i="14"/>
  <c r="F15" i="14"/>
  <c r="E15" i="14"/>
  <c r="D15" i="14"/>
  <c r="C15" i="14"/>
  <c r="G14" i="14"/>
  <c r="F14" i="14"/>
  <c r="E14" i="14"/>
  <c r="D14" i="14"/>
  <c r="C14" i="14"/>
  <c r="G13" i="14"/>
  <c r="F13" i="14"/>
  <c r="E13" i="14"/>
  <c r="D13" i="14"/>
  <c r="C13" i="14"/>
  <c r="G12" i="14"/>
  <c r="F12" i="14"/>
  <c r="E12" i="14"/>
  <c r="D12" i="14"/>
  <c r="C12" i="14"/>
  <c r="G11" i="14"/>
  <c r="F11" i="14"/>
  <c r="E11" i="14"/>
  <c r="D11" i="14"/>
  <c r="G10" i="14"/>
  <c r="F10" i="14"/>
  <c r="E10" i="14"/>
  <c r="D10" i="14"/>
  <c r="Y15" i="14"/>
  <c r="Y14" i="14"/>
  <c r="Y13" i="14"/>
  <c r="Y12" i="14"/>
  <c r="Y11" i="14"/>
  <c r="Y10" i="14"/>
  <c r="N11" i="14"/>
  <c r="N10" i="14"/>
  <c r="C11" i="14"/>
  <c r="C10" i="14"/>
  <c r="Y16" i="13"/>
  <c r="Y15" i="13"/>
  <c r="Y14" i="13"/>
  <c r="Y13" i="13"/>
  <c r="Y12" i="13"/>
  <c r="R16" i="13"/>
  <c r="W16" i="13" s="1"/>
  <c r="Q16" i="13"/>
  <c r="V16" i="13" s="1"/>
  <c r="P16" i="13"/>
  <c r="O16" i="13"/>
  <c r="N16" i="13"/>
  <c r="R15" i="13"/>
  <c r="W15" i="13" s="1"/>
  <c r="Q15" i="13"/>
  <c r="V15" i="13" s="1"/>
  <c r="P15" i="13"/>
  <c r="U15" i="13" s="1"/>
  <c r="O15" i="13"/>
  <c r="T15" i="13" s="1"/>
  <c r="N15" i="13"/>
  <c r="R14" i="13"/>
  <c r="W14" i="13" s="1"/>
  <c r="Q14" i="13"/>
  <c r="V14" i="13" s="1"/>
  <c r="P14" i="13"/>
  <c r="O14" i="13"/>
  <c r="T14" i="13" s="1"/>
  <c r="N14" i="13"/>
  <c r="R13" i="13"/>
  <c r="Q13" i="13"/>
  <c r="P13" i="13"/>
  <c r="O13" i="13"/>
  <c r="N13" i="13"/>
  <c r="R12" i="13"/>
  <c r="Q12" i="13"/>
  <c r="P12" i="13"/>
  <c r="O12" i="13"/>
  <c r="N12" i="13"/>
  <c r="R11" i="13"/>
  <c r="Q11" i="13"/>
  <c r="P11" i="13"/>
  <c r="O11" i="13"/>
  <c r="R10" i="13"/>
  <c r="Q10" i="13"/>
  <c r="P10" i="13"/>
  <c r="O10" i="13"/>
  <c r="Y11" i="13"/>
  <c r="Z20" i="13" s="1"/>
  <c r="AA20" i="13" s="1"/>
  <c r="Y10" i="13"/>
  <c r="N11" i="13"/>
  <c r="N10" i="13"/>
  <c r="G16" i="13"/>
  <c r="L16" i="13" s="1"/>
  <c r="F16" i="13"/>
  <c r="K16" i="13" s="1"/>
  <c r="E16" i="13"/>
  <c r="D16" i="13"/>
  <c r="I16" i="13" s="1"/>
  <c r="C16" i="13"/>
  <c r="G15" i="13"/>
  <c r="L15" i="13" s="1"/>
  <c r="F15" i="13"/>
  <c r="K15" i="13" s="1"/>
  <c r="E15" i="13"/>
  <c r="D15" i="13"/>
  <c r="C15" i="13"/>
  <c r="G14" i="13"/>
  <c r="L14" i="13" s="1"/>
  <c r="F14" i="13"/>
  <c r="E14" i="13"/>
  <c r="D14" i="13"/>
  <c r="C14" i="13"/>
  <c r="G13" i="13"/>
  <c r="L13" i="13" s="1"/>
  <c r="F13" i="13"/>
  <c r="E13" i="13"/>
  <c r="D13" i="13"/>
  <c r="C13" i="13"/>
  <c r="G12" i="13"/>
  <c r="L12" i="13" s="1"/>
  <c r="F12" i="13"/>
  <c r="K12" i="13" s="1"/>
  <c r="E12" i="13"/>
  <c r="D12" i="13"/>
  <c r="C12" i="13"/>
  <c r="G11" i="13"/>
  <c r="F11" i="13"/>
  <c r="E11" i="13"/>
  <c r="D11" i="13"/>
  <c r="G10" i="13"/>
  <c r="F10" i="13"/>
  <c r="E10" i="13"/>
  <c r="D10" i="13"/>
  <c r="C11" i="13"/>
  <c r="C10" i="13"/>
  <c r="A14" i="14"/>
  <c r="A13" i="14"/>
  <c r="A12" i="14"/>
  <c r="Z10" i="14"/>
  <c r="M7" i="14"/>
  <c r="C7" i="14"/>
  <c r="M6" i="14"/>
  <c r="C6" i="14"/>
  <c r="C5" i="14"/>
  <c r="A14" i="13"/>
  <c r="A13" i="13"/>
  <c r="A12" i="13"/>
  <c r="Z10" i="13"/>
  <c r="M7" i="13"/>
  <c r="C7" i="13"/>
  <c r="M6" i="13"/>
  <c r="C6" i="13"/>
  <c r="C5" i="13"/>
  <c r="Q8" i="6"/>
  <c r="Q7" i="6"/>
  <c r="F8" i="6"/>
  <c r="F7" i="6"/>
  <c r="F6" i="6"/>
  <c r="C5" i="12"/>
  <c r="G16" i="12"/>
  <c r="F16" i="12"/>
  <c r="E16" i="12"/>
  <c r="D16" i="12"/>
  <c r="C16" i="12"/>
  <c r="G15" i="12"/>
  <c r="F15" i="12"/>
  <c r="E15" i="12"/>
  <c r="D15" i="12"/>
  <c r="C15" i="12"/>
  <c r="G13" i="12"/>
  <c r="F13" i="12"/>
  <c r="E13" i="12"/>
  <c r="D13" i="12"/>
  <c r="C13" i="12"/>
  <c r="G12" i="12"/>
  <c r="F12" i="12"/>
  <c r="E12" i="12"/>
  <c r="R16" i="12"/>
  <c r="Q16" i="12"/>
  <c r="P16" i="12"/>
  <c r="O16" i="12"/>
  <c r="N16" i="12"/>
  <c r="R15" i="12"/>
  <c r="Q15" i="12"/>
  <c r="P15" i="12"/>
  <c r="O15" i="12"/>
  <c r="N15" i="12"/>
  <c r="R13" i="12"/>
  <c r="Q13" i="12"/>
  <c r="P13" i="12"/>
  <c r="O13" i="12"/>
  <c r="N13" i="12"/>
  <c r="R12" i="12"/>
  <c r="Q12" i="12"/>
  <c r="P12" i="12"/>
  <c r="O12" i="12"/>
  <c r="N12" i="12"/>
  <c r="Y16" i="12"/>
  <c r="Y15" i="12"/>
  <c r="Y13" i="12"/>
  <c r="Y12" i="12"/>
  <c r="Y11" i="12"/>
  <c r="Y10" i="12"/>
  <c r="R11" i="12"/>
  <c r="Q11" i="12"/>
  <c r="P11" i="12"/>
  <c r="O11" i="12"/>
  <c r="R10" i="12"/>
  <c r="Q10" i="12"/>
  <c r="P10" i="12"/>
  <c r="O10" i="12"/>
  <c r="N11" i="12"/>
  <c r="N10" i="12"/>
  <c r="G11" i="12"/>
  <c r="F11" i="12"/>
  <c r="E11" i="12"/>
  <c r="D11" i="12"/>
  <c r="C11" i="12"/>
  <c r="G10" i="12"/>
  <c r="F10" i="12"/>
  <c r="E10" i="12"/>
  <c r="D10" i="12"/>
  <c r="C10" i="12"/>
  <c r="A14" i="12"/>
  <c r="A13" i="12"/>
  <c r="A12" i="12"/>
  <c r="Z10" i="12"/>
  <c r="M7" i="12"/>
  <c r="C7" i="12"/>
  <c r="M6" i="12"/>
  <c r="C6" i="12"/>
  <c r="A14" i="1"/>
  <c r="A13" i="1"/>
  <c r="A12" i="1"/>
  <c r="M7" i="1"/>
  <c r="M6" i="1"/>
  <c r="C7" i="1"/>
  <c r="C6" i="1"/>
  <c r="C5" i="1"/>
  <c r="Y16" i="1"/>
  <c r="Y14" i="1"/>
  <c r="R16" i="1"/>
  <c r="Q16" i="1"/>
  <c r="P16" i="1"/>
  <c r="O16" i="1"/>
  <c r="N16" i="1"/>
  <c r="R14" i="1"/>
  <c r="Q14" i="1"/>
  <c r="P14" i="1"/>
  <c r="O14" i="1"/>
  <c r="N14" i="1"/>
  <c r="G16" i="1"/>
  <c r="F16" i="1"/>
  <c r="E16" i="1"/>
  <c r="D16" i="1"/>
  <c r="C16" i="1"/>
  <c r="G14" i="1"/>
  <c r="F14" i="1"/>
  <c r="E14" i="1"/>
  <c r="D14" i="1"/>
  <c r="C14" i="1"/>
  <c r="G11" i="1"/>
  <c r="F11" i="1"/>
  <c r="E11" i="1"/>
  <c r="D11" i="1"/>
  <c r="C11" i="1"/>
  <c r="R11" i="1"/>
  <c r="Q11" i="1"/>
  <c r="P11" i="1"/>
  <c r="O11" i="1"/>
  <c r="N11" i="1"/>
  <c r="Y10" i="1"/>
  <c r="Z10" i="1"/>
  <c r="R10" i="1"/>
  <c r="Q10" i="1"/>
  <c r="P10" i="1"/>
  <c r="O10" i="1"/>
  <c r="N10" i="1"/>
  <c r="D10" i="1"/>
  <c r="E10" i="1"/>
  <c r="F10" i="1"/>
  <c r="G10" i="1"/>
  <c r="C10" i="1"/>
  <c r="K13" i="13" l="1"/>
  <c r="K14" i="13"/>
  <c r="AB20" i="13"/>
  <c r="P21" i="6"/>
  <c r="I13" i="13"/>
  <c r="S20" i="1"/>
  <c r="S21" i="1"/>
  <c r="S19" i="1"/>
  <c r="S17" i="1"/>
  <c r="S22" i="1"/>
  <c r="S18" i="1"/>
  <c r="S16" i="14"/>
  <c r="S17" i="14"/>
  <c r="S18" i="14"/>
  <c r="S19" i="14"/>
  <c r="S21" i="14"/>
  <c r="S22" i="14"/>
  <c r="T18" i="1"/>
  <c r="T19" i="1"/>
  <c r="T17" i="1"/>
  <c r="T20" i="1"/>
  <c r="T22" i="1"/>
  <c r="T21" i="1"/>
  <c r="U18" i="12"/>
  <c r="U20" i="12"/>
  <c r="U19" i="12"/>
  <c r="U21" i="12"/>
  <c r="U22" i="12"/>
  <c r="U17" i="12"/>
  <c r="U14" i="12"/>
  <c r="H19" i="13"/>
  <c r="H22" i="13"/>
  <c r="H18" i="13"/>
  <c r="H21" i="13"/>
  <c r="H17" i="13"/>
  <c r="T17" i="14"/>
  <c r="T18" i="14"/>
  <c r="T19" i="14"/>
  <c r="T21" i="14"/>
  <c r="T22" i="14"/>
  <c r="T16" i="14"/>
  <c r="U16" i="14"/>
  <c r="U22" i="14"/>
  <c r="U17" i="14"/>
  <c r="U21" i="14"/>
  <c r="U19" i="14"/>
  <c r="U18" i="14"/>
  <c r="I15" i="13"/>
  <c r="Z16" i="14"/>
  <c r="Z22" i="14"/>
  <c r="T18" i="12"/>
  <c r="T20" i="12"/>
  <c r="T22" i="12"/>
  <c r="T19" i="12"/>
  <c r="T21" i="12"/>
  <c r="T17" i="12"/>
  <c r="T14" i="12"/>
  <c r="V19" i="1"/>
  <c r="V22" i="1"/>
  <c r="V21" i="1"/>
  <c r="V17" i="1"/>
  <c r="V20" i="1"/>
  <c r="V18" i="1"/>
  <c r="S21" i="12"/>
  <c r="S20" i="12"/>
  <c r="S19" i="12"/>
  <c r="S18" i="12"/>
  <c r="S22" i="12"/>
  <c r="S17" i="12"/>
  <c r="S14" i="12"/>
  <c r="J15" i="13"/>
  <c r="T22" i="13"/>
  <c r="T19" i="13"/>
  <c r="T18" i="13"/>
  <c r="T21" i="13"/>
  <c r="T17" i="13"/>
  <c r="U14" i="13"/>
  <c r="I16" i="14"/>
  <c r="I17" i="14"/>
  <c r="I19" i="14"/>
  <c r="I18" i="14"/>
  <c r="I21" i="14"/>
  <c r="I22" i="14"/>
  <c r="J18" i="1"/>
  <c r="J19" i="1"/>
  <c r="J22" i="1"/>
  <c r="J20" i="1"/>
  <c r="J21" i="1"/>
  <c r="J17" i="1"/>
  <c r="J16" i="13"/>
  <c r="U20" i="1"/>
  <c r="U19" i="1"/>
  <c r="U18" i="1"/>
  <c r="U22" i="1"/>
  <c r="U17" i="1"/>
  <c r="U21" i="1"/>
  <c r="S19" i="13"/>
  <c r="S22" i="13"/>
  <c r="S18" i="13"/>
  <c r="S21" i="13"/>
  <c r="S17" i="13"/>
  <c r="U18" i="13"/>
  <c r="U22" i="13"/>
  <c r="U21" i="13"/>
  <c r="U19" i="13"/>
  <c r="U17" i="13"/>
  <c r="J17" i="14"/>
  <c r="J21" i="14"/>
  <c r="J22" i="14"/>
  <c r="J18" i="14"/>
  <c r="J16" i="14"/>
  <c r="J19" i="14"/>
  <c r="J14" i="12"/>
  <c r="J21" i="12"/>
  <c r="J19" i="12"/>
  <c r="J22" i="12"/>
  <c r="J18" i="12"/>
  <c r="J20" i="12"/>
  <c r="J17" i="12"/>
  <c r="J22" i="13"/>
  <c r="J19" i="13"/>
  <c r="J21" i="13"/>
  <c r="J18" i="13"/>
  <c r="J17" i="13"/>
  <c r="H22" i="1"/>
  <c r="H20" i="1"/>
  <c r="H19" i="1"/>
  <c r="H17" i="1"/>
  <c r="H18" i="1"/>
  <c r="H21" i="1"/>
  <c r="H14" i="12"/>
  <c r="H18" i="12"/>
  <c r="H20" i="12"/>
  <c r="H22" i="12"/>
  <c r="H19" i="12"/>
  <c r="H21" i="12"/>
  <c r="H17" i="12"/>
  <c r="I14" i="13"/>
  <c r="U16" i="13"/>
  <c r="I21" i="1"/>
  <c r="I18" i="1"/>
  <c r="I20" i="1"/>
  <c r="I19" i="1"/>
  <c r="I22" i="1"/>
  <c r="I17" i="1"/>
  <c r="I18" i="12"/>
  <c r="I21" i="12"/>
  <c r="I22" i="12"/>
  <c r="I19" i="12"/>
  <c r="I20" i="12"/>
  <c r="I22" i="13"/>
  <c r="I18" i="13"/>
  <c r="I21" i="13"/>
  <c r="I19" i="13"/>
  <c r="I17" i="13"/>
  <c r="J14" i="13"/>
  <c r="Z18" i="13"/>
  <c r="Z22" i="13"/>
  <c r="Z21" i="13"/>
  <c r="Z19" i="13"/>
  <c r="H16" i="14"/>
  <c r="H22" i="14"/>
  <c r="H17" i="14"/>
  <c r="H21" i="14"/>
  <c r="H19" i="14"/>
  <c r="H18" i="14"/>
  <c r="Z17" i="14"/>
  <c r="Z18" i="14"/>
  <c r="Z19" i="14"/>
  <c r="Z21" i="14"/>
  <c r="Z21" i="12"/>
  <c r="Z19" i="12"/>
  <c r="Z22" i="12"/>
  <c r="Z18" i="12"/>
  <c r="Z20" i="12"/>
  <c r="Z17" i="13"/>
  <c r="I14" i="12"/>
  <c r="I17" i="12"/>
  <c r="Z17" i="12"/>
  <c r="W12" i="12"/>
  <c r="L14" i="14"/>
  <c r="W13" i="12"/>
  <c r="V15" i="12"/>
  <c r="K12" i="12"/>
  <c r="L16" i="12"/>
  <c r="L15" i="14"/>
  <c r="W14" i="14"/>
  <c r="V13" i="12"/>
  <c r="L15" i="12"/>
  <c r="W13" i="14"/>
  <c r="W15" i="12"/>
  <c r="V16" i="12"/>
  <c r="L12" i="12"/>
  <c r="K13" i="12"/>
  <c r="L12" i="14"/>
  <c r="W15" i="14"/>
  <c r="K16" i="12"/>
  <c r="V12" i="12"/>
  <c r="W16" i="12"/>
  <c r="L13" i="12"/>
  <c r="K15" i="12"/>
  <c r="L13" i="14"/>
  <c r="W12" i="14"/>
  <c r="U15" i="14"/>
  <c r="V15" i="14"/>
  <c r="U14" i="14"/>
  <c r="V14" i="14"/>
  <c r="K15" i="14"/>
  <c r="K14" i="14"/>
  <c r="K13" i="14"/>
  <c r="K12" i="14"/>
  <c r="J15" i="14"/>
  <c r="J14" i="14"/>
  <c r="I15" i="14"/>
  <c r="I14" i="14"/>
  <c r="Z15" i="12"/>
  <c r="U16" i="12"/>
  <c r="U15" i="12"/>
  <c r="T16" i="12"/>
  <c r="T15" i="12"/>
  <c r="S16" i="12"/>
  <c r="S15" i="12"/>
  <c r="J16" i="12"/>
  <c r="J15" i="12"/>
  <c r="I16" i="12"/>
  <c r="I15" i="12"/>
  <c r="H16" i="12"/>
  <c r="H15" i="12"/>
  <c r="Z16" i="12"/>
  <c r="Z14" i="12"/>
  <c r="T13" i="1"/>
  <c r="T15" i="1"/>
  <c r="T12" i="1"/>
  <c r="V12" i="1"/>
  <c r="V13" i="1"/>
  <c r="V15" i="1"/>
  <c r="H13" i="1"/>
  <c r="H15" i="1"/>
  <c r="H12" i="1"/>
  <c r="J12" i="1"/>
  <c r="J13" i="1"/>
  <c r="J15" i="1"/>
  <c r="S12" i="1"/>
  <c r="S15" i="1"/>
  <c r="S13" i="1"/>
  <c r="U13" i="1"/>
  <c r="U12" i="1"/>
  <c r="U15" i="1"/>
  <c r="W12" i="1"/>
  <c r="W15" i="1"/>
  <c r="W13" i="1"/>
  <c r="I12" i="1"/>
  <c r="I15" i="1"/>
  <c r="I13" i="1"/>
  <c r="K13" i="1"/>
  <c r="K12" i="1"/>
  <c r="K15" i="1"/>
  <c r="I12" i="13"/>
  <c r="V12" i="13"/>
  <c r="V13" i="13"/>
  <c r="J12" i="14"/>
  <c r="J13" i="14"/>
  <c r="H12" i="12"/>
  <c r="H13" i="12"/>
  <c r="J12" i="13"/>
  <c r="J13" i="13"/>
  <c r="W12" i="13"/>
  <c r="W13" i="13"/>
  <c r="U12" i="14"/>
  <c r="U13" i="14"/>
  <c r="T13" i="13"/>
  <c r="V12" i="14"/>
  <c r="V13" i="14"/>
  <c r="U12" i="13"/>
  <c r="U13" i="13"/>
  <c r="I12" i="14"/>
  <c r="I13" i="14"/>
  <c r="H12" i="14"/>
  <c r="Z12" i="13"/>
  <c r="T12" i="12"/>
  <c r="T13" i="12"/>
  <c r="U12" i="12"/>
  <c r="U13" i="12"/>
  <c r="I12" i="12"/>
  <c r="I13" i="12"/>
  <c r="J12" i="12"/>
  <c r="J13" i="12"/>
  <c r="S12" i="12"/>
  <c r="S13" i="12"/>
  <c r="Z12" i="12"/>
  <c r="Z13" i="12"/>
  <c r="T13" i="14"/>
  <c r="T15" i="14"/>
  <c r="T12" i="14"/>
  <c r="H13" i="14"/>
  <c r="H14" i="14"/>
  <c r="H15" i="14"/>
  <c r="T16" i="13"/>
  <c r="Z16" i="13"/>
  <c r="Z13" i="13"/>
  <c r="Z14" i="13"/>
  <c r="S12" i="13"/>
  <c r="S16" i="13"/>
  <c r="S15" i="14"/>
  <c r="S14" i="14"/>
  <c r="S12" i="14"/>
  <c r="Z12" i="14"/>
  <c r="S13" i="14"/>
  <c r="Z13" i="14"/>
  <c r="T14" i="14"/>
  <c r="Z15" i="14"/>
  <c r="Z14" i="14"/>
  <c r="H12" i="13"/>
  <c r="H15" i="13"/>
  <c r="H14" i="13"/>
  <c r="H13" i="13"/>
  <c r="H16" i="13"/>
  <c r="T12" i="13"/>
  <c r="S13" i="13"/>
  <c r="S14" i="13"/>
  <c r="S15" i="13"/>
  <c r="X15" i="13" s="1"/>
  <c r="Z15" i="13"/>
  <c r="M21" i="12" l="1"/>
  <c r="X14" i="12"/>
  <c r="M14" i="13"/>
  <c r="M16" i="13"/>
  <c r="M21" i="14"/>
  <c r="M16" i="14"/>
  <c r="X21" i="12"/>
  <c r="X21" i="13"/>
  <c r="M22" i="1"/>
  <c r="X17" i="13"/>
  <c r="X20" i="12"/>
  <c r="X21" i="14"/>
  <c r="M21" i="13"/>
  <c r="X18" i="1"/>
  <c r="M18" i="14"/>
  <c r="X17" i="12"/>
  <c r="M22" i="13"/>
  <c r="X19" i="12"/>
  <c r="X22" i="1"/>
  <c r="M20" i="1"/>
  <c r="M17" i="13"/>
  <c r="X22" i="14"/>
  <c r="M17" i="12"/>
  <c r="M19" i="14"/>
  <c r="M19" i="12"/>
  <c r="M21" i="1"/>
  <c r="M18" i="13"/>
  <c r="X19" i="14"/>
  <c r="M14" i="12"/>
  <c r="M18" i="1"/>
  <c r="AA18" i="1" s="1"/>
  <c r="X22" i="12"/>
  <c r="X18" i="14"/>
  <c r="X17" i="1"/>
  <c r="M22" i="12"/>
  <c r="X18" i="13"/>
  <c r="X18" i="12"/>
  <c r="X17" i="14"/>
  <c r="X19" i="1"/>
  <c r="M15" i="13"/>
  <c r="AA15" i="13" s="1"/>
  <c r="X14" i="13"/>
  <c r="M17" i="14"/>
  <c r="M18" i="12"/>
  <c r="M17" i="1"/>
  <c r="X22" i="13"/>
  <c r="X19" i="13"/>
  <c r="M19" i="13"/>
  <c r="X16" i="14"/>
  <c r="X21" i="1"/>
  <c r="M22" i="14"/>
  <c r="M20" i="12"/>
  <c r="M19" i="1"/>
  <c r="X20" i="1"/>
  <c r="T21" i="6"/>
  <c r="M15" i="14"/>
  <c r="M14" i="14"/>
  <c r="X16" i="12"/>
  <c r="X15" i="12"/>
  <c r="M15" i="12"/>
  <c r="M16" i="12"/>
  <c r="X13" i="1"/>
  <c r="X15" i="1"/>
  <c r="M15" i="1"/>
  <c r="X12" i="1"/>
  <c r="M12" i="1"/>
  <c r="M13" i="1"/>
  <c r="M12" i="12"/>
  <c r="X12" i="12"/>
  <c r="M13" i="14"/>
  <c r="X13" i="12"/>
  <c r="X13" i="13"/>
  <c r="M13" i="12"/>
  <c r="M13" i="13"/>
  <c r="M12" i="14"/>
  <c r="M12" i="13"/>
  <c r="X16" i="13"/>
  <c r="X12" i="14"/>
  <c r="X13" i="14"/>
  <c r="X15" i="14"/>
  <c r="X12" i="13"/>
  <c r="X14" i="14"/>
  <c r="AA21" i="14" l="1"/>
  <c r="AB21" i="14" s="1"/>
  <c r="AA16" i="14"/>
  <c r="AB16" i="14" s="1"/>
  <c r="AA14" i="13"/>
  <c r="P15" i="6" s="1"/>
  <c r="AA16" i="13"/>
  <c r="AB16" i="13" s="1"/>
  <c r="AA14" i="12"/>
  <c r="M15" i="6" s="1"/>
  <c r="AA20" i="12"/>
  <c r="AB20" i="12" s="1"/>
  <c r="AA17" i="12"/>
  <c r="M18" i="6" s="1"/>
  <c r="AA21" i="12"/>
  <c r="AB21" i="12" s="1"/>
  <c r="AA17" i="14"/>
  <c r="AB17" i="14" s="1"/>
  <c r="AA22" i="14"/>
  <c r="AB22" i="14" s="1"/>
  <c r="AA22" i="1"/>
  <c r="AB22" i="1" s="1"/>
  <c r="AA21" i="13"/>
  <c r="P22" i="6" s="1"/>
  <c r="AA17" i="1"/>
  <c r="J18" i="6" s="1"/>
  <c r="AA18" i="12"/>
  <c r="M19" i="6" s="1"/>
  <c r="AA19" i="14"/>
  <c r="AB19" i="14" s="1"/>
  <c r="AA18" i="14"/>
  <c r="AB18" i="14" s="1"/>
  <c r="AA22" i="13"/>
  <c r="AB22" i="13" s="1"/>
  <c r="AA17" i="13"/>
  <c r="AA22" i="12"/>
  <c r="AB22" i="12" s="1"/>
  <c r="AA19" i="12"/>
  <c r="M20" i="6" s="1"/>
  <c r="AA19" i="1"/>
  <c r="AB19" i="1" s="1"/>
  <c r="AA20" i="1"/>
  <c r="AB18" i="1"/>
  <c r="J19" i="6"/>
  <c r="AA18" i="13"/>
  <c r="AA19" i="13"/>
  <c r="P20" i="6" s="1"/>
  <c r="AA21" i="1"/>
  <c r="AA15" i="14"/>
  <c r="AA14" i="14"/>
  <c r="T15" i="6" s="1"/>
  <c r="AA15" i="12"/>
  <c r="AA16" i="12"/>
  <c r="AB16" i="12" s="1"/>
  <c r="AA12" i="1"/>
  <c r="AB12" i="1" s="1"/>
  <c r="AA15" i="1"/>
  <c r="AB15" i="1" s="1"/>
  <c r="AA13" i="1"/>
  <c r="AB13" i="1" s="1"/>
  <c r="AA13" i="12"/>
  <c r="AA12" i="12"/>
  <c r="AA13" i="14"/>
  <c r="AA13" i="13"/>
  <c r="P14" i="6" s="1"/>
  <c r="AA12" i="13"/>
  <c r="P13" i="6" s="1"/>
  <c r="AA12" i="14"/>
  <c r="AB15" i="13"/>
  <c r="P16" i="6"/>
  <c r="T22" i="6" l="1"/>
  <c r="T23" i="6"/>
  <c r="AB14" i="13"/>
  <c r="P17" i="6"/>
  <c r="AB14" i="12"/>
  <c r="M21" i="6"/>
  <c r="AB17" i="12"/>
  <c r="M22" i="6"/>
  <c r="J23" i="6"/>
  <c r="AB17" i="1"/>
  <c r="AB21" i="13"/>
  <c r="T18" i="6"/>
  <c r="T19" i="6"/>
  <c r="T20" i="6"/>
  <c r="AB18" i="12"/>
  <c r="P23" i="6"/>
  <c r="AB19" i="12"/>
  <c r="P18" i="6"/>
  <c r="AB17" i="13"/>
  <c r="M23" i="6"/>
  <c r="J20" i="6"/>
  <c r="AB21" i="1"/>
  <c r="J22" i="6"/>
  <c r="AB18" i="13"/>
  <c r="P19" i="6"/>
  <c r="AB19" i="13"/>
  <c r="AB20" i="1"/>
  <c r="J21" i="6"/>
  <c r="T17" i="6"/>
  <c r="T16" i="6"/>
  <c r="AB15" i="14"/>
  <c r="AB14" i="14"/>
  <c r="T13" i="6"/>
  <c r="AB13" i="14"/>
  <c r="M16" i="6"/>
  <c r="AB15" i="12"/>
  <c r="M17" i="6"/>
  <c r="AB13" i="12"/>
  <c r="J13" i="6"/>
  <c r="J16" i="6"/>
  <c r="AB13" i="13"/>
  <c r="AB12" i="13"/>
  <c r="M14" i="6"/>
  <c r="AB12" i="12"/>
  <c r="M13" i="6"/>
  <c r="AB12" i="14"/>
  <c r="T14" i="6"/>
  <c r="W19" i="6" l="1"/>
  <c r="Z19" i="6" s="1"/>
  <c r="W18" i="6"/>
  <c r="Z18" i="6" s="1"/>
  <c r="W21" i="6"/>
  <c r="Z21" i="6" s="1"/>
  <c r="W22" i="6"/>
  <c r="Z22" i="6" s="1"/>
  <c r="W20" i="6"/>
  <c r="Z20" i="6" s="1"/>
  <c r="W23" i="6"/>
  <c r="Z23" i="6" s="1"/>
  <c r="AB7" i="14"/>
  <c r="AB6" i="14"/>
  <c r="AB6" i="13"/>
  <c r="AB5" i="13"/>
  <c r="AB7" i="13"/>
  <c r="W16" i="6"/>
  <c r="W13" i="6"/>
  <c r="Z13" i="6" s="1"/>
  <c r="AB7" i="12"/>
  <c r="AB6" i="12"/>
  <c r="AB5" i="12"/>
  <c r="AB5" i="14"/>
  <c r="Z16" i="1"/>
  <c r="W16" i="1"/>
  <c r="V16" i="1"/>
  <c r="U16" i="1"/>
  <c r="T16" i="1"/>
  <c r="S16" i="1"/>
  <c r="L16" i="1"/>
  <c r="K16" i="1"/>
  <c r="J16" i="1"/>
  <c r="I16" i="1"/>
  <c r="H16" i="1"/>
  <c r="Z14" i="1"/>
  <c r="W14" i="1"/>
  <c r="V14" i="1"/>
  <c r="U14" i="1"/>
  <c r="T14" i="1"/>
  <c r="S14" i="1"/>
  <c r="L14" i="1"/>
  <c r="K14" i="1"/>
  <c r="J14" i="1"/>
  <c r="I14" i="1"/>
  <c r="H14" i="1"/>
  <c r="X16" i="1" l="1"/>
  <c r="M14" i="1"/>
  <c r="X14" i="1"/>
  <c r="M16" i="1"/>
  <c r="AA14" i="1" l="1"/>
  <c r="AA16" i="1"/>
  <c r="J17" i="6" s="1"/>
  <c r="W17" i="6" l="1"/>
  <c r="Z17" i="6" s="1"/>
  <c r="AB14" i="1"/>
  <c r="J15" i="6"/>
  <c r="W15" i="6" s="1"/>
  <c r="AB16" i="1"/>
  <c r="J14" i="6"/>
  <c r="W14" i="6" s="1"/>
  <c r="Z15" i="6" l="1"/>
  <c r="Z16" i="6"/>
  <c r="Z14" i="6"/>
  <c r="AB6" i="1"/>
  <c r="AB7" i="1"/>
  <c r="AB5" i="1"/>
  <c r="Z7" i="6" l="1"/>
  <c r="Z8" i="6"/>
  <c r="Z6" i="6"/>
</calcChain>
</file>

<file path=xl/sharedStrings.xml><?xml version="1.0" encoding="utf-8"?>
<sst xmlns="http://schemas.openxmlformats.org/spreadsheetml/2006/main" count="246" uniqueCount="71">
  <si>
    <t>BROKENSHIRE COLLEGE</t>
  </si>
  <si>
    <t>REPORT OF GRADES</t>
  </si>
  <si>
    <t xml:space="preserve">Course Code: </t>
  </si>
  <si>
    <t xml:space="preserve">Day/Time/Room: </t>
  </si>
  <si>
    <t xml:space="preserve">Period: </t>
  </si>
  <si>
    <t>PRELIM</t>
  </si>
  <si>
    <t># Students Passed:</t>
  </si>
  <si>
    <t xml:space="preserve">Course Description:  </t>
  </si>
  <si>
    <t>Units:</t>
  </si>
  <si>
    <t># Students Failed:</t>
  </si>
  <si>
    <t xml:space="preserve">Course/Section: </t>
  </si>
  <si>
    <t xml:space="preserve">Sem/School Year: </t>
  </si>
  <si>
    <t># Students Dropped:</t>
  </si>
  <si>
    <t xml:space="preserve">                </t>
  </si>
  <si>
    <t>#</t>
  </si>
  <si>
    <t>Name</t>
  </si>
  <si>
    <t>Quizzes (40%)</t>
  </si>
  <si>
    <t>Equivalent</t>
  </si>
  <si>
    <t>Other Course Req. (20%)</t>
  </si>
  <si>
    <t>Exam (40%)</t>
  </si>
  <si>
    <t>Prelim                 Grade</t>
  </si>
  <si>
    <t>Remarks</t>
  </si>
  <si>
    <t>Date</t>
  </si>
  <si>
    <t>Q1</t>
  </si>
  <si>
    <t>Q2</t>
  </si>
  <si>
    <t>Q3</t>
  </si>
  <si>
    <t>Q4</t>
  </si>
  <si>
    <t>Q5</t>
  </si>
  <si>
    <t>Ave</t>
  </si>
  <si>
    <t>OCR          1</t>
  </si>
  <si>
    <t>OCR          2</t>
  </si>
  <si>
    <t>OCR          3</t>
  </si>
  <si>
    <t>OCR          4</t>
  </si>
  <si>
    <t>OCR          5</t>
  </si>
  <si>
    <t>Eq.</t>
  </si>
  <si>
    <t xml:space="preserve">Prepared  by: </t>
  </si>
  <si>
    <t>Noted by:</t>
  </si>
  <si>
    <t>Approved:</t>
  </si>
  <si>
    <t>Subject Instructor</t>
  </si>
  <si>
    <t>Chairperson/Coordinator</t>
  </si>
  <si>
    <t>Dean</t>
  </si>
  <si>
    <t>MIDTERM</t>
  </si>
  <si>
    <t>Midterm                 Grade</t>
  </si>
  <si>
    <t>PREFINAL</t>
  </si>
  <si>
    <t>FINAL</t>
  </si>
  <si>
    <t>AVERAGE              (FINAL GRADE)</t>
  </si>
  <si>
    <t>REMARKS</t>
  </si>
  <si>
    <t>NAME</t>
  </si>
  <si>
    <t>Quizzes</t>
  </si>
  <si>
    <t>OCR</t>
  </si>
  <si>
    <t>Exam</t>
  </si>
  <si>
    <t xml:space="preserve">Instructor: </t>
  </si>
  <si>
    <t>Chairperson:</t>
  </si>
  <si>
    <t>Dean:</t>
  </si>
  <si>
    <t>Course Description:</t>
  </si>
  <si>
    <t xml:space="preserve">Date                                                   </t>
  </si>
  <si>
    <t># of Items</t>
  </si>
  <si>
    <t>Prefinal Grade</t>
  </si>
  <si>
    <t>Final  Grade</t>
  </si>
  <si>
    <t>Highest possible score</t>
  </si>
  <si>
    <t>Madapo, Davao City</t>
  </si>
  <si>
    <t>Student_2</t>
  </si>
  <si>
    <t>Student_1</t>
  </si>
  <si>
    <t>Student_3</t>
  </si>
  <si>
    <t>Student_4</t>
  </si>
  <si>
    <t>Student_5</t>
  </si>
  <si>
    <t>Student_6</t>
  </si>
  <si>
    <t>Student_7</t>
  </si>
  <si>
    <t>Student_8</t>
  </si>
  <si>
    <t>Student_9</t>
  </si>
  <si>
    <t>Student_10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</si>
</sst>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\-d"/>
  </numFmts>
  <fonts count="28" x14ac:knownFonts="1">
    <font>
      <sz val="11"/>
      <color theme="1"/>
      <name val="Calibri"/>
      <family val="2"/>
      <scheme val="minor"/>
    </font>
    <font>
      <b/>
      <sz val="14"/>
      <name val="Trebuchet MS"/>
      <family val="2"/>
    </font>
    <font>
      <sz val="10"/>
      <name val="Trebuchet MS"/>
      <family val="2"/>
    </font>
    <font>
      <b/>
      <sz val="10"/>
      <name val="Trebuchet MS"/>
      <family val="2"/>
    </font>
    <font>
      <i/>
      <sz val="10"/>
      <name val="Trebuchet MS"/>
      <family val="2"/>
    </font>
    <font>
      <b/>
      <i/>
      <sz val="10"/>
      <name val="Trebuchet MS"/>
      <family val="2"/>
    </font>
    <font>
      <sz val="11"/>
      <color theme="1"/>
      <name val="Trebuchet MS"/>
      <family val="2"/>
    </font>
    <font>
      <b/>
      <sz val="11"/>
      <color rgb="FFC00000"/>
      <name val="Trebuchet MS"/>
      <family val="2"/>
    </font>
    <font>
      <b/>
      <sz val="11"/>
      <color rgb="FF7030A0"/>
      <name val="Trebuchet MS"/>
      <family val="2"/>
    </font>
    <font>
      <b/>
      <sz val="9"/>
      <name val="Trebuchet MS"/>
      <family val="2"/>
    </font>
    <font>
      <sz val="10"/>
      <color theme="1"/>
      <name val="Trebuchet MS"/>
      <family val="2"/>
    </font>
    <font>
      <b/>
      <sz val="8"/>
      <name val="Trebuchet MS"/>
      <family val="2"/>
    </font>
    <font>
      <sz val="8.25"/>
      <name val="Trebuchet MS"/>
      <family val="2"/>
    </font>
    <font>
      <sz val="9"/>
      <name val="Trebuchet MS"/>
      <family val="2"/>
    </font>
    <font>
      <sz val="9"/>
      <color theme="1"/>
      <name val="Trebuchet MS"/>
      <family val="2"/>
    </font>
    <font>
      <b/>
      <u/>
      <sz val="12"/>
      <color theme="1"/>
      <name val="Trebuchet MS"/>
      <family val="2"/>
    </font>
    <font>
      <sz val="12"/>
      <color theme="1"/>
      <name val="Trebuchet MS"/>
      <family val="2"/>
    </font>
    <font>
      <b/>
      <sz val="10"/>
      <color theme="0"/>
      <name val="Trebuchet MS"/>
      <family val="2"/>
    </font>
    <font>
      <b/>
      <sz val="20"/>
      <name val="Trebuchet MS"/>
      <family val="2"/>
    </font>
    <font>
      <b/>
      <sz val="20"/>
      <color theme="0"/>
      <name val="Trebuchet MS"/>
      <family val="2"/>
    </font>
    <font>
      <b/>
      <sz val="10"/>
      <color theme="1"/>
      <name val="Trebuchet MS"/>
      <family val="2"/>
    </font>
    <font>
      <b/>
      <sz val="10"/>
      <color rgb="FFC00000"/>
      <name val="Trebuchet MS"/>
      <family val="2"/>
    </font>
    <font>
      <b/>
      <i/>
      <sz val="9"/>
      <name val="Trebuchet MS"/>
      <family val="2"/>
    </font>
    <font>
      <b/>
      <sz val="10"/>
      <color rgb="FF7030A0"/>
      <name val="Trebuchet MS"/>
      <family val="2"/>
    </font>
    <font>
      <b/>
      <u/>
      <sz val="14"/>
      <name val="Trebuchet MS"/>
      <family val="2"/>
    </font>
    <font>
      <b/>
      <sz val="15"/>
      <color rgb="FFFF0000"/>
      <name val="Trebuchet MS"/>
      <family val="2"/>
    </font>
    <font>
      <b/>
      <sz val="12"/>
      <color rgb="FFFF0000"/>
      <name val="Trebuchet MS"/>
      <family val="2"/>
    </font>
    <font>
      <b/>
      <sz val="12"/>
      <color indexed="10"/>
      <name val="Trebuchet MS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00000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9">
    <xf numFmtId="0" fontId="0" fillId="0" borderId="0" xfId="0"/>
    <xf numFmtId="0" fontId="6" fillId="0" borderId="0" xfId="0" applyFont="1" applyBorder="1" applyAlignment="1">
      <alignment horizontal="center" vertical="center"/>
    </xf>
    <xf numFmtId="0" fontId="3" fillId="0" borderId="0" xfId="0" applyFont="1" applyBorder="1" applyAlignment="1" applyProtection="1">
      <alignment horizontal="center" vertical="center"/>
      <protection locked="0"/>
    </xf>
    <xf numFmtId="0" fontId="13" fillId="0" borderId="29" xfId="0" applyFont="1" applyBorder="1" applyAlignment="1" applyProtection="1">
      <alignment horizontal="center" vertical="center"/>
      <protection locked="0"/>
    </xf>
    <xf numFmtId="0" fontId="13" fillId="0" borderId="27" xfId="0" applyFont="1" applyBorder="1" applyAlignment="1" applyProtection="1">
      <alignment horizontal="center" vertical="center"/>
      <protection locked="0"/>
    </xf>
    <xf numFmtId="0" fontId="13" fillId="0" borderId="30" xfId="0" applyFont="1" applyBorder="1" applyAlignment="1" applyProtection="1">
      <alignment horizontal="center" vertical="center"/>
      <protection locked="0"/>
    </xf>
    <xf numFmtId="1" fontId="13" fillId="2" borderId="27" xfId="0" applyNumberFormat="1" applyFont="1" applyFill="1" applyBorder="1" applyAlignment="1" applyProtection="1">
      <alignment horizontal="center" vertical="center"/>
    </xf>
    <xf numFmtId="1" fontId="13" fillId="2" borderId="28" xfId="0" applyNumberFormat="1" applyFont="1" applyFill="1" applyBorder="1" applyAlignment="1" applyProtection="1">
      <alignment horizontal="center" vertical="center"/>
    </xf>
    <xf numFmtId="0" fontId="14" fillId="0" borderId="25" xfId="0" applyFont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vertical="center"/>
    </xf>
    <xf numFmtId="1" fontId="13" fillId="0" borderId="0" xfId="0" applyNumberFormat="1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vertical="center"/>
    </xf>
    <xf numFmtId="0" fontId="6" fillId="0" borderId="0" xfId="0" applyFont="1" applyBorder="1" applyProtection="1">
      <protection locked="0"/>
    </xf>
    <xf numFmtId="0" fontId="3" fillId="0" borderId="0" xfId="0" applyFont="1" applyBorder="1" applyProtection="1">
      <protection locked="0"/>
    </xf>
    <xf numFmtId="0" fontId="6" fillId="0" borderId="0" xfId="0" applyFont="1" applyBorder="1" applyProtection="1"/>
    <xf numFmtId="0" fontId="6" fillId="0" borderId="0" xfId="0" applyFont="1" applyBorder="1"/>
    <xf numFmtId="0" fontId="6" fillId="0" borderId="0" xfId="0" applyFont="1" applyFill="1" applyBorder="1" applyProtection="1">
      <protection locked="0"/>
    </xf>
    <xf numFmtId="164" fontId="10" fillId="3" borderId="13" xfId="0" applyNumberFormat="1" applyFont="1" applyFill="1" applyBorder="1" applyAlignment="1" applyProtection="1">
      <alignment horizontal="center" vertical="center" shrinkToFit="1"/>
      <protection locked="0"/>
    </xf>
    <xf numFmtId="164" fontId="10" fillId="3" borderId="14" xfId="0" applyNumberFormat="1" applyFont="1" applyFill="1" applyBorder="1" applyAlignment="1" applyProtection="1">
      <alignment horizontal="center" vertical="center" shrinkToFit="1"/>
      <protection locked="0"/>
    </xf>
    <xf numFmtId="164" fontId="10" fillId="3" borderId="24" xfId="0" applyNumberFormat="1" applyFont="1" applyFill="1" applyBorder="1" applyAlignment="1" applyProtection="1">
      <alignment horizontal="center" vertical="center" shrinkToFit="1"/>
      <protection locked="0"/>
    </xf>
    <xf numFmtId="164" fontId="6" fillId="3" borderId="13" xfId="0" applyNumberFormat="1" applyFont="1" applyFill="1" applyBorder="1" applyAlignment="1" applyProtection="1">
      <alignment horizontal="center" vertical="center" shrinkToFit="1"/>
      <protection locked="0"/>
    </xf>
    <xf numFmtId="164" fontId="6" fillId="3" borderId="14" xfId="0" applyNumberFormat="1" applyFont="1" applyFill="1" applyBorder="1" applyAlignment="1" applyProtection="1">
      <alignment horizontal="center" vertical="center" shrinkToFit="1"/>
      <protection locked="0"/>
    </xf>
    <xf numFmtId="164" fontId="6" fillId="3" borderId="40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164" fontId="3" fillId="3" borderId="55" xfId="0" applyNumberFormat="1" applyFont="1" applyFill="1" applyBorder="1" applyAlignment="1" applyProtection="1">
      <alignment horizontal="center" vertical="center" shrinkToFit="1"/>
      <protection locked="0"/>
    </xf>
    <xf numFmtId="0" fontId="9" fillId="0" borderId="20" xfId="0" applyFont="1" applyFill="1" applyBorder="1" applyAlignment="1" applyProtection="1">
      <alignment horizontal="center" vertical="center"/>
      <protection locked="0"/>
    </xf>
    <xf numFmtId="0" fontId="9" fillId="0" borderId="21" xfId="0" applyFont="1" applyFill="1" applyBorder="1" applyAlignment="1" applyProtection="1">
      <alignment horizontal="center" vertical="center"/>
      <protection locked="0"/>
    </xf>
    <xf numFmtId="0" fontId="9" fillId="0" borderId="34" xfId="0" applyFont="1" applyFill="1" applyBorder="1" applyAlignment="1" applyProtection="1">
      <alignment horizontal="center" vertical="center"/>
      <protection locked="0"/>
    </xf>
    <xf numFmtId="0" fontId="9" fillId="0" borderId="23" xfId="0" applyFont="1" applyFill="1" applyBorder="1" applyAlignment="1" applyProtection="1">
      <alignment horizontal="center" vertical="center"/>
      <protection locked="0"/>
    </xf>
    <xf numFmtId="0" fontId="9" fillId="0" borderId="56" xfId="0" applyFont="1" applyFill="1" applyBorder="1" applyAlignment="1" applyProtection="1">
      <alignment horizontal="center" vertical="center"/>
      <protection locked="0"/>
    </xf>
    <xf numFmtId="0" fontId="13" fillId="0" borderId="26" xfId="0" applyFont="1" applyBorder="1" applyAlignment="1" applyProtection="1">
      <alignment horizontal="center" vertical="center"/>
      <protection locked="0"/>
    </xf>
    <xf numFmtId="0" fontId="13" fillId="0" borderId="25" xfId="0" applyFont="1" applyBorder="1" applyAlignment="1" applyProtection="1">
      <alignment horizontal="center" vertical="center"/>
      <protection locked="0"/>
    </xf>
    <xf numFmtId="0" fontId="13" fillId="0" borderId="55" xfId="0" applyFont="1" applyBorder="1" applyAlignment="1" applyProtection="1">
      <alignment horizontal="center" vertical="center"/>
      <protection locked="0"/>
    </xf>
    <xf numFmtId="0" fontId="13" fillId="0" borderId="57" xfId="0" applyFont="1" applyBorder="1" applyAlignment="1" applyProtection="1">
      <alignment horizontal="center" vertical="center"/>
      <protection locked="0"/>
    </xf>
    <xf numFmtId="0" fontId="13" fillId="0" borderId="42" xfId="0" applyFont="1" applyBorder="1" applyAlignment="1" applyProtection="1">
      <alignment horizontal="center" vertical="center"/>
      <protection locked="0"/>
    </xf>
    <xf numFmtId="0" fontId="13" fillId="0" borderId="43" xfId="0" applyFont="1" applyBorder="1" applyAlignment="1" applyProtection="1">
      <alignment horizontal="center" vertical="center"/>
      <protection locked="0"/>
    </xf>
    <xf numFmtId="0" fontId="13" fillId="0" borderId="41" xfId="0" applyFont="1" applyBorder="1" applyAlignment="1" applyProtection="1">
      <alignment horizontal="center" vertical="center"/>
      <protection locked="0"/>
    </xf>
    <xf numFmtId="0" fontId="6" fillId="0" borderId="44" xfId="0" applyFont="1" applyBorder="1" applyAlignment="1" applyProtection="1">
      <alignment horizontal="center" vertical="center"/>
      <protection locked="0"/>
    </xf>
    <xf numFmtId="0" fontId="13" fillId="0" borderId="45" xfId="0" applyFont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/>
    </xf>
    <xf numFmtId="0" fontId="13" fillId="0" borderId="52" xfId="0" applyFont="1" applyBorder="1" applyAlignment="1" applyProtection="1">
      <alignment horizontal="center" vertical="center"/>
      <protection locked="0"/>
    </xf>
    <xf numFmtId="0" fontId="6" fillId="0" borderId="0" xfId="0" applyFont="1" applyFill="1" applyBorder="1" applyProtection="1"/>
    <xf numFmtId="0" fontId="9" fillId="0" borderId="0" xfId="0" applyFont="1" applyBorder="1" applyProtection="1"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14" fillId="0" borderId="0" xfId="0" applyFont="1" applyBorder="1" applyProtection="1"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 applyProtection="1">
      <alignment horizontal="center" vertical="center"/>
      <protection locked="0"/>
    </xf>
    <xf numFmtId="0" fontId="14" fillId="0" borderId="44" xfId="0" applyFont="1" applyBorder="1" applyAlignment="1" applyProtection="1">
      <alignment horizontal="center" vertical="center"/>
      <protection locked="0"/>
    </xf>
    <xf numFmtId="0" fontId="4" fillId="0" borderId="27" xfId="0" applyFont="1" applyFill="1" applyBorder="1" applyAlignment="1"/>
    <xf numFmtId="0" fontId="3" fillId="0" borderId="27" xfId="0" applyFont="1" applyFill="1" applyBorder="1" applyAlignment="1">
      <alignment horizontal="left"/>
    </xf>
    <xf numFmtId="0" fontId="4" fillId="0" borderId="27" xfId="0" applyFont="1" applyFill="1" applyBorder="1" applyAlignment="1" applyProtection="1">
      <protection locked="0"/>
    </xf>
    <xf numFmtId="0" fontId="14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center" vertical="center"/>
      <protection locked="0"/>
    </xf>
    <xf numFmtId="1" fontId="13" fillId="2" borderId="28" xfId="0" applyNumberFormat="1" applyFont="1" applyFill="1" applyBorder="1" applyAlignment="1" applyProtection="1">
      <alignment horizontal="center" vertical="center"/>
      <protection locked="0"/>
    </xf>
    <xf numFmtId="0" fontId="22" fillId="0" borderId="12" xfId="0" applyFont="1" applyBorder="1" applyAlignment="1" applyProtection="1">
      <alignment horizontal="right"/>
    </xf>
    <xf numFmtId="164" fontId="10" fillId="0" borderId="54" xfId="0" applyNumberFormat="1" applyFont="1" applyBorder="1" applyAlignment="1" applyProtection="1">
      <alignment horizontal="center" vertical="center" shrinkToFit="1"/>
    </xf>
    <xf numFmtId="164" fontId="10" fillId="0" borderId="27" xfId="0" applyNumberFormat="1" applyFont="1" applyBorder="1" applyAlignment="1" applyProtection="1">
      <alignment horizontal="center" vertical="center" shrinkToFit="1"/>
    </xf>
    <xf numFmtId="164" fontId="10" fillId="0" borderId="53" xfId="0" applyNumberFormat="1" applyFont="1" applyBorder="1" applyAlignment="1" applyProtection="1">
      <alignment horizontal="center" vertical="center" shrinkToFit="1"/>
    </xf>
    <xf numFmtId="164" fontId="10" fillId="0" borderId="17" xfId="0" applyNumberFormat="1" applyFont="1" applyBorder="1" applyAlignment="1" applyProtection="1">
      <alignment horizontal="center" vertical="center" shrinkToFit="1"/>
    </xf>
    <xf numFmtId="164" fontId="10" fillId="0" borderId="14" xfId="0" applyNumberFormat="1" applyFont="1" applyBorder="1" applyAlignment="1" applyProtection="1">
      <alignment horizontal="center" vertical="center" shrinkToFit="1"/>
    </xf>
    <xf numFmtId="164" fontId="10" fillId="0" borderId="24" xfId="0" applyNumberFormat="1" applyFont="1" applyBorder="1" applyAlignment="1" applyProtection="1">
      <alignment horizontal="center" vertical="center" shrinkToFit="1"/>
    </xf>
    <xf numFmtId="0" fontId="9" fillId="0" borderId="21" xfId="0" applyFont="1" applyBorder="1" applyAlignment="1" applyProtection="1">
      <alignment horizontal="center" vertical="center"/>
    </xf>
    <xf numFmtId="0" fontId="12" fillId="0" borderId="18" xfId="0" applyFont="1" applyBorder="1" applyAlignment="1" applyProtection="1">
      <alignment horizontal="center" vertical="center"/>
    </xf>
    <xf numFmtId="0" fontId="2" fillId="0" borderId="25" xfId="0" applyFont="1" applyBorder="1" applyAlignment="1" applyProtection="1">
      <alignment horizontal="left" vertical="center" shrinkToFit="1"/>
    </xf>
    <xf numFmtId="0" fontId="13" fillId="0" borderId="29" xfId="0" applyFont="1" applyBorder="1" applyAlignment="1" applyProtection="1">
      <alignment horizontal="center" vertical="center"/>
    </xf>
    <xf numFmtId="0" fontId="13" fillId="0" borderId="27" xfId="0" applyFont="1" applyBorder="1" applyAlignment="1" applyProtection="1">
      <alignment horizontal="center" vertical="center"/>
    </xf>
    <xf numFmtId="0" fontId="13" fillId="0" borderId="30" xfId="0" applyFont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center"/>
    </xf>
    <xf numFmtId="0" fontId="2" fillId="0" borderId="0" xfId="0" applyFont="1" applyFill="1" applyBorder="1" applyAlignment="1" applyProtection="1">
      <alignment horizontal="left"/>
    </xf>
    <xf numFmtId="0" fontId="6" fillId="0" borderId="0" xfId="0" applyFont="1" applyBorder="1" applyAlignment="1" applyProtection="1">
      <alignment horizontal="center"/>
    </xf>
    <xf numFmtId="0" fontId="20" fillId="0" borderId="0" xfId="0" applyFont="1" applyBorder="1" applyAlignment="1" applyProtection="1">
      <alignment horizontal="center" vertical="center"/>
    </xf>
    <xf numFmtId="0" fontId="21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3" fillId="0" borderId="2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12" fillId="0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 vertical="center" shrinkToFit="1"/>
    </xf>
    <xf numFmtId="0" fontId="13" fillId="0" borderId="0" xfId="0" applyFont="1" applyFill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vertical="center"/>
    </xf>
    <xf numFmtId="0" fontId="6" fillId="0" borderId="0" xfId="0" applyFont="1" applyBorder="1" applyAlignment="1" applyProtection="1">
      <alignment horizontal="center" vertical="center"/>
    </xf>
    <xf numFmtId="0" fontId="16" fillId="0" borderId="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3" fillId="0" borderId="0" xfId="0" applyFont="1" applyBorder="1" applyProtection="1"/>
    <xf numFmtId="0" fontId="16" fillId="0" borderId="0" xfId="0" applyFont="1" applyBorder="1" applyProtection="1"/>
    <xf numFmtId="0" fontId="4" fillId="0" borderId="0" xfId="0" applyFont="1" applyBorder="1" applyProtection="1"/>
    <xf numFmtId="0" fontId="7" fillId="0" borderId="0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/>
      <protection locked="0"/>
    </xf>
    <xf numFmtId="0" fontId="9" fillId="3" borderId="9" xfId="0" applyFont="1" applyFill="1" applyBorder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12" fillId="0" borderId="39" xfId="0" applyFont="1" applyBorder="1" applyAlignment="1" applyProtection="1">
      <alignment horizontal="center" vertical="center"/>
      <protection locked="0"/>
    </xf>
    <xf numFmtId="1" fontId="13" fillId="0" borderId="0" xfId="0" applyNumberFormat="1" applyFont="1" applyFill="1" applyBorder="1" applyAlignment="1" applyProtection="1">
      <alignment horizontal="center" vertical="center"/>
      <protection locked="0"/>
    </xf>
    <xf numFmtId="0" fontId="9" fillId="0" borderId="23" xfId="0" applyFont="1" applyFill="1" applyBorder="1" applyAlignment="1" applyProtection="1">
      <alignment horizontal="center" vertical="center" shrinkToFit="1"/>
      <protection locked="0"/>
    </xf>
    <xf numFmtId="1" fontId="2" fillId="0" borderId="0" xfId="0" applyNumberFormat="1" applyFont="1" applyFill="1" applyBorder="1" applyAlignment="1" applyProtection="1">
      <alignment horizontal="center"/>
    </xf>
    <xf numFmtId="1" fontId="10" fillId="0" borderId="0" xfId="0" applyNumberFormat="1" applyFont="1" applyFill="1" applyBorder="1" applyAlignment="1" applyProtection="1">
      <alignment horizontal="center"/>
    </xf>
    <xf numFmtId="1" fontId="1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horizontal="center"/>
    </xf>
    <xf numFmtId="0" fontId="10" fillId="0" borderId="58" xfId="0" applyFont="1" applyBorder="1" applyAlignment="1" applyProtection="1">
      <alignment horizontal="center"/>
    </xf>
    <xf numFmtId="1" fontId="13" fillId="2" borderId="40" xfId="0" applyNumberFormat="1" applyFont="1" applyFill="1" applyBorder="1" applyAlignment="1" applyProtection="1">
      <alignment horizontal="center" vertical="center"/>
      <protection locked="0"/>
    </xf>
    <xf numFmtId="0" fontId="12" fillId="0" borderId="54" xfId="0" applyFont="1" applyBorder="1" applyAlignment="1" applyProtection="1">
      <alignment horizontal="center" vertical="center"/>
    </xf>
    <xf numFmtId="0" fontId="13" fillId="0" borderId="17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24" xfId="0" applyFont="1" applyBorder="1" applyAlignment="1" applyProtection="1">
      <alignment horizontal="center" vertical="center"/>
    </xf>
    <xf numFmtId="1" fontId="13" fillId="2" borderId="14" xfId="0" applyNumberFormat="1" applyFont="1" applyFill="1" applyBorder="1" applyAlignment="1" applyProtection="1">
      <alignment horizontal="center" vertical="center"/>
    </xf>
    <xf numFmtId="1" fontId="13" fillId="2" borderId="40" xfId="0" applyNumberFormat="1" applyFont="1" applyFill="1" applyBorder="1" applyAlignment="1" applyProtection="1">
      <alignment horizontal="center" vertical="center"/>
    </xf>
    <xf numFmtId="0" fontId="14" fillId="0" borderId="59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6" fillId="0" borderId="24" xfId="0" applyFont="1" applyBorder="1" applyAlignment="1" applyProtection="1">
      <alignment horizontal="center" vertical="center"/>
    </xf>
    <xf numFmtId="0" fontId="22" fillId="0" borderId="45" xfId="0" applyFont="1" applyBorder="1" applyAlignment="1" applyProtection="1">
      <alignment horizontal="right"/>
    </xf>
    <xf numFmtId="0" fontId="9" fillId="0" borderId="32" xfId="0" applyFont="1" applyBorder="1" applyAlignment="1" applyProtection="1">
      <alignment horizontal="center" vertical="center"/>
    </xf>
    <xf numFmtId="0" fontId="9" fillId="0" borderId="60" xfId="0" applyFont="1" applyBorder="1" applyAlignment="1" applyProtection="1">
      <alignment horizontal="center" vertical="center"/>
    </xf>
    <xf numFmtId="0" fontId="9" fillId="0" borderId="22" xfId="0" applyFont="1" applyBorder="1" applyAlignment="1" applyProtection="1">
      <alignment horizontal="center" vertical="center"/>
    </xf>
    <xf numFmtId="0" fontId="9" fillId="0" borderId="34" xfId="0" applyFont="1" applyBorder="1" applyAlignment="1" applyProtection="1">
      <alignment horizontal="center" vertical="center"/>
    </xf>
    <xf numFmtId="1" fontId="6" fillId="0" borderId="0" xfId="0" applyNumberFormat="1" applyFont="1" applyBorder="1" applyProtection="1"/>
    <xf numFmtId="0" fontId="26" fillId="0" borderId="59" xfId="0" applyFont="1" applyBorder="1" applyAlignment="1" applyProtection="1">
      <alignment horizontal="left" vertical="center" shrinkToFit="1"/>
    </xf>
    <xf numFmtId="0" fontId="27" fillId="0" borderId="59" xfId="0" applyFont="1" applyBorder="1" applyAlignment="1" applyProtection="1">
      <alignment horizontal="left" vertical="center" shrinkToFit="1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12" fillId="0" borderId="32" xfId="0" applyFont="1" applyFill="1" applyBorder="1" applyAlignment="1" applyProtection="1">
      <alignment horizontal="center" vertical="center"/>
    </xf>
    <xf numFmtId="0" fontId="2" fillId="0" borderId="33" xfId="0" applyFont="1" applyFill="1" applyBorder="1" applyAlignment="1" applyProtection="1">
      <alignment horizontal="left" vertical="center" shrinkToFit="1"/>
    </xf>
    <xf numFmtId="0" fontId="13" fillId="0" borderId="22" xfId="0" applyFont="1" applyFill="1" applyBorder="1" applyAlignment="1" applyProtection="1">
      <alignment horizontal="center" vertical="center"/>
    </xf>
    <xf numFmtId="0" fontId="13" fillId="0" borderId="21" xfId="0" applyFont="1" applyFill="1" applyBorder="1" applyAlignment="1" applyProtection="1">
      <alignment horizontal="center" vertical="center"/>
    </xf>
    <xf numFmtId="0" fontId="13" fillId="0" borderId="34" xfId="0" applyFont="1" applyFill="1" applyBorder="1" applyAlignment="1" applyProtection="1">
      <alignment horizontal="center" vertical="center"/>
    </xf>
    <xf numFmtId="1" fontId="13" fillId="0" borderId="21" xfId="0" applyNumberFormat="1" applyFont="1" applyFill="1" applyBorder="1" applyAlignment="1" applyProtection="1">
      <alignment horizontal="center" vertical="center"/>
    </xf>
    <xf numFmtId="1" fontId="13" fillId="0" borderId="23" xfId="0" applyNumberFormat="1" applyFont="1" applyFill="1" applyBorder="1" applyAlignment="1" applyProtection="1">
      <alignment horizontal="center" vertical="center"/>
    </xf>
    <xf numFmtId="0" fontId="6" fillId="0" borderId="34" xfId="0" applyFont="1" applyFill="1" applyBorder="1" applyAlignment="1" applyProtection="1">
      <alignment horizontal="center" vertical="center"/>
    </xf>
    <xf numFmtId="1" fontId="13" fillId="0" borderId="23" xfId="0" applyNumberFormat="1" applyFont="1" applyFill="1" applyBorder="1" applyAlignment="1" applyProtection="1">
      <alignment horizontal="center" vertical="center"/>
      <protection locked="0"/>
    </xf>
    <xf numFmtId="0" fontId="14" fillId="0" borderId="33" xfId="0" applyFont="1" applyFill="1" applyBorder="1" applyAlignment="1" applyProtection="1">
      <alignment horizontal="center" vertical="center"/>
    </xf>
    <xf numFmtId="0" fontId="6" fillId="0" borderId="52" xfId="0" applyFont="1" applyFill="1" applyBorder="1" applyAlignment="1" applyProtection="1">
      <alignment horizontal="center"/>
    </xf>
    <xf numFmtId="0" fontId="2" fillId="0" borderId="18" xfId="0" applyFont="1" applyBorder="1" applyAlignment="1" applyProtection="1">
      <alignment horizontal="left" vertical="center" shrinkToFit="1"/>
      <protection locked="0"/>
    </xf>
    <xf numFmtId="0" fontId="2" fillId="0" borderId="31" xfId="0" applyFont="1" applyBorder="1" applyAlignment="1" applyProtection="1">
      <alignment horizontal="left" vertical="center" shrinkToFit="1"/>
      <protection locked="0"/>
    </xf>
    <xf numFmtId="0" fontId="2" fillId="0" borderId="55" xfId="0" applyFont="1" applyBorder="1" applyAlignment="1" applyProtection="1">
      <alignment horizontal="left" vertical="center" shrinkToFit="1"/>
      <protection locked="0"/>
    </xf>
    <xf numFmtId="0" fontId="2" fillId="0" borderId="32" xfId="0" applyFont="1" applyBorder="1" applyAlignment="1" applyProtection="1">
      <alignment horizontal="left" vertical="center" shrinkToFit="1"/>
      <protection locked="0"/>
    </xf>
    <xf numFmtId="0" fontId="2" fillId="0" borderId="60" xfId="0" applyFont="1" applyBorder="1" applyAlignment="1" applyProtection="1">
      <alignment horizontal="left" vertical="center" shrinkToFit="1"/>
      <protection locked="0"/>
    </xf>
    <xf numFmtId="0" fontId="2" fillId="0" borderId="56" xfId="0" applyFont="1" applyBorder="1" applyAlignment="1" applyProtection="1">
      <alignment horizontal="left" vertical="center" shrinkToFit="1"/>
      <protection locked="0"/>
    </xf>
    <xf numFmtId="0" fontId="5" fillId="0" borderId="49" xfId="0" applyFont="1" applyBorder="1" applyAlignment="1" applyProtection="1">
      <alignment horizontal="right" vertical="center" wrapText="1"/>
      <protection locked="0"/>
    </xf>
    <xf numFmtId="0" fontId="5" fillId="0" borderId="50" xfId="0" applyFont="1" applyBorder="1" applyAlignment="1" applyProtection="1">
      <alignment horizontal="right" vertical="center" wrapText="1"/>
      <protection locked="0"/>
    </xf>
    <xf numFmtId="0" fontId="5" fillId="0" borderId="51" xfId="0" applyFont="1" applyBorder="1" applyAlignment="1" applyProtection="1">
      <alignment horizontal="right" vertical="center" wrapText="1"/>
      <protection locked="0"/>
    </xf>
    <xf numFmtId="0" fontId="5" fillId="0" borderId="39" xfId="0" applyFont="1" applyBorder="1" applyAlignment="1" applyProtection="1">
      <alignment horizontal="right" vertical="center" wrapText="1"/>
      <protection locked="0"/>
    </xf>
    <xf numFmtId="0" fontId="5" fillId="0" borderId="35" xfId="0" applyFont="1" applyBorder="1" applyAlignment="1" applyProtection="1">
      <alignment horizontal="right" vertical="center" wrapText="1"/>
      <protection locked="0"/>
    </xf>
    <xf numFmtId="0" fontId="5" fillId="0" borderId="52" xfId="0" applyFont="1" applyBorder="1" applyAlignment="1" applyProtection="1">
      <alignment horizontal="right" vertical="center" wrapText="1"/>
      <protection locked="0"/>
    </xf>
    <xf numFmtId="0" fontId="18" fillId="0" borderId="46" xfId="0" applyFont="1" applyFill="1" applyBorder="1" applyAlignment="1" applyProtection="1">
      <alignment horizontal="center"/>
    </xf>
    <xf numFmtId="0" fontId="18" fillId="0" borderId="47" xfId="0" applyFont="1" applyFill="1" applyBorder="1" applyAlignment="1" applyProtection="1">
      <alignment horizontal="center"/>
    </xf>
    <xf numFmtId="0" fontId="3" fillId="0" borderId="3" xfId="0" applyFont="1" applyBorder="1" applyAlignment="1" applyProtection="1">
      <alignment horizontal="right" vertical="center"/>
      <protection locked="0"/>
    </xf>
    <xf numFmtId="0" fontId="3" fillId="0" borderId="4" xfId="0" applyFont="1" applyBorder="1" applyAlignment="1" applyProtection="1">
      <alignment horizontal="right" vertical="center"/>
      <protection locked="0"/>
    </xf>
    <xf numFmtId="0" fontId="3" fillId="0" borderId="6" xfId="0" applyFont="1" applyBorder="1" applyAlignment="1" applyProtection="1">
      <alignment horizontal="right" vertical="center"/>
      <protection locked="0"/>
    </xf>
    <xf numFmtId="0" fontId="25" fillId="0" borderId="18" xfId="0" applyFont="1" applyBorder="1" applyAlignment="1" applyProtection="1">
      <alignment horizontal="left" vertical="center" shrinkToFit="1"/>
      <protection locked="0"/>
    </xf>
    <xf numFmtId="0" fontId="25" fillId="0" borderId="31" xfId="0" applyFont="1" applyBorder="1" applyAlignment="1" applyProtection="1">
      <alignment horizontal="left" vertical="center" shrinkToFit="1"/>
      <protection locked="0"/>
    </xf>
    <xf numFmtId="0" fontId="25" fillId="0" borderId="55" xfId="0" applyFont="1" applyBorder="1" applyAlignment="1" applyProtection="1">
      <alignment horizontal="left" vertical="center" shrinkToFit="1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39" xfId="0" applyFont="1" applyBorder="1" applyAlignment="1" applyProtection="1">
      <alignment horizontal="center" vertical="center"/>
      <protection locked="0"/>
    </xf>
    <xf numFmtId="0" fontId="19" fillId="6" borderId="46" xfId="0" applyFont="1" applyFill="1" applyBorder="1" applyAlignment="1" applyProtection="1">
      <alignment horizontal="center" vertical="center"/>
    </xf>
    <xf numFmtId="0" fontId="19" fillId="6" borderId="47" xfId="0" applyFont="1" applyFill="1" applyBorder="1" applyAlignment="1" applyProtection="1">
      <alignment horizontal="center" vertical="center"/>
    </xf>
    <xf numFmtId="0" fontId="19" fillId="6" borderId="48" xfId="0" applyFont="1" applyFill="1" applyBorder="1" applyAlignment="1" applyProtection="1">
      <alignment horizontal="center" vertical="center"/>
    </xf>
    <xf numFmtId="0" fontId="3" fillId="3" borderId="3" xfId="0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37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3" borderId="36" xfId="0" applyFont="1" applyFill="1" applyBorder="1" applyAlignment="1" applyProtection="1">
      <alignment horizontal="center" vertical="center"/>
      <protection locked="0"/>
    </xf>
    <xf numFmtId="0" fontId="19" fillId="5" borderId="46" xfId="0" applyFont="1" applyFill="1" applyBorder="1" applyAlignment="1" applyProtection="1">
      <alignment horizontal="center" vertical="center"/>
    </xf>
    <xf numFmtId="0" fontId="19" fillId="5" borderId="47" xfId="0" applyFont="1" applyFill="1" applyBorder="1" applyAlignment="1" applyProtection="1">
      <alignment horizontal="center" vertical="center"/>
    </xf>
    <xf numFmtId="0" fontId="19" fillId="5" borderId="48" xfId="0" applyFont="1" applyFill="1" applyBorder="1" applyAlignment="1" applyProtection="1">
      <alignment horizontal="center" vertical="center"/>
    </xf>
    <xf numFmtId="0" fontId="19" fillId="4" borderId="46" xfId="0" applyFont="1" applyFill="1" applyBorder="1" applyAlignment="1" applyProtection="1">
      <alignment horizontal="center" vertical="center"/>
    </xf>
    <xf numFmtId="0" fontId="19" fillId="4" borderId="47" xfId="0" applyFont="1" applyFill="1" applyBorder="1" applyAlignment="1" applyProtection="1">
      <alignment horizontal="center" vertical="center"/>
    </xf>
    <xf numFmtId="0" fontId="19" fillId="4" borderId="48" xfId="0" applyFont="1" applyFill="1" applyBorder="1" applyAlignment="1" applyProtection="1">
      <alignment horizontal="center" vertical="center"/>
    </xf>
    <xf numFmtId="0" fontId="18" fillId="2" borderId="46" xfId="0" applyFont="1" applyFill="1" applyBorder="1" applyAlignment="1" applyProtection="1">
      <alignment horizontal="center" vertical="center"/>
    </xf>
    <xf numFmtId="0" fontId="18" fillId="2" borderId="47" xfId="0" applyFont="1" applyFill="1" applyBorder="1" applyAlignment="1" applyProtection="1">
      <alignment horizontal="center" vertical="center"/>
    </xf>
    <xf numFmtId="0" fontId="18" fillId="2" borderId="48" xfId="0" applyFont="1" applyFill="1" applyBorder="1" applyAlignment="1" applyProtection="1">
      <alignment horizontal="center" vertical="center"/>
    </xf>
    <xf numFmtId="0" fontId="2" fillId="0" borderId="35" xfId="0" applyFont="1" applyFill="1" applyBorder="1" applyAlignment="1" applyProtection="1">
      <alignment horizontal="center" vertical="center"/>
    </xf>
    <xf numFmtId="9" fontId="9" fillId="2" borderId="16" xfId="0" applyNumberFormat="1" applyFont="1" applyFill="1" applyBorder="1" applyAlignment="1" applyProtection="1">
      <alignment horizontal="center" vertical="center"/>
    </xf>
    <xf numFmtId="9" fontId="9" fillId="2" borderId="44" xfId="0" applyNumberFormat="1" applyFont="1" applyFill="1" applyBorder="1" applyAlignment="1" applyProtection="1">
      <alignment horizontal="center" vertical="center"/>
    </xf>
    <xf numFmtId="164" fontId="3" fillId="0" borderId="31" xfId="0" applyNumberFormat="1" applyFont="1" applyBorder="1" applyAlignment="1" applyProtection="1">
      <alignment horizontal="center" vertical="center" shrinkToFit="1"/>
    </xf>
    <xf numFmtId="0" fontId="3" fillId="0" borderId="10" xfId="0" applyFont="1" applyBorder="1" applyAlignment="1" applyProtection="1">
      <alignment horizontal="center" vertical="center" wrapText="1"/>
    </xf>
    <xf numFmtId="0" fontId="3" fillId="0" borderId="12" xfId="0" applyFont="1" applyBorder="1" applyAlignment="1" applyProtection="1">
      <alignment horizontal="center" vertical="center" wrapText="1"/>
    </xf>
    <xf numFmtId="0" fontId="3" fillId="0" borderId="45" xfId="0" applyFont="1" applyBorder="1" applyAlignment="1" applyProtection="1">
      <alignment horizontal="center" vertical="center" wrapText="1"/>
    </xf>
    <xf numFmtId="0" fontId="9" fillId="0" borderId="9" xfId="0" applyFont="1" applyBorder="1" applyAlignment="1" applyProtection="1">
      <alignment horizontal="center" vertical="center"/>
    </xf>
    <xf numFmtId="0" fontId="9" fillId="0" borderId="19" xfId="0" applyFont="1" applyBorder="1" applyAlignment="1" applyProtection="1">
      <alignment horizontal="center" vertical="center"/>
    </xf>
    <xf numFmtId="0" fontId="9" fillId="0" borderId="52" xfId="0" applyFont="1" applyBorder="1" applyAlignment="1" applyProtection="1">
      <alignment horizontal="center" vertical="center"/>
    </xf>
    <xf numFmtId="0" fontId="9" fillId="2" borderId="15" xfId="0" applyFont="1" applyFill="1" applyBorder="1" applyAlignment="1" applyProtection="1">
      <alignment horizontal="center" vertical="center"/>
    </xf>
    <xf numFmtId="0" fontId="9" fillId="2" borderId="42" xfId="0" applyFont="1" applyFill="1" applyBorder="1" applyAlignment="1" applyProtection="1">
      <alignment horizontal="center" vertical="center"/>
    </xf>
    <xf numFmtId="0" fontId="11" fillId="2" borderId="15" xfId="0" applyFont="1" applyFill="1" applyBorder="1" applyAlignment="1" applyProtection="1">
      <alignment horizontal="center" vertical="center" wrapText="1"/>
    </xf>
    <xf numFmtId="0" fontId="11" fillId="2" borderId="42" xfId="0" applyFont="1" applyFill="1" applyBorder="1" applyAlignment="1" applyProtection="1">
      <alignment horizontal="center" vertical="center" wrapText="1"/>
    </xf>
    <xf numFmtId="0" fontId="9" fillId="0" borderId="38" xfId="0" applyFont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3" fillId="0" borderId="11" xfId="0" applyFont="1" applyBorder="1" applyAlignment="1" applyProtection="1">
      <alignment horizontal="center" vertical="center"/>
    </xf>
    <xf numFmtId="0" fontId="3" fillId="0" borderId="39" xfId="0" applyFont="1" applyBorder="1" applyAlignment="1" applyProtection="1">
      <alignment horizontal="center" vertical="center"/>
    </xf>
    <xf numFmtId="0" fontId="3" fillId="0" borderId="3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3" fillId="2" borderId="6" xfId="0" applyFont="1" applyFill="1" applyBorder="1" applyAlignment="1" applyProtection="1">
      <alignment horizontal="center" vertical="center"/>
    </xf>
    <xf numFmtId="0" fontId="3" fillId="0" borderId="7" xfId="0" applyFont="1" applyBorder="1" applyAlignment="1" applyProtection="1">
      <alignment horizontal="center" vertical="center"/>
    </xf>
    <xf numFmtId="0" fontId="3" fillId="0" borderId="8" xfId="0" applyFont="1" applyBorder="1" applyAlignment="1" applyProtection="1">
      <alignment horizontal="center" vertical="center"/>
    </xf>
    <xf numFmtId="0" fontId="3" fillId="0" borderId="5" xfId="0" applyFont="1" applyBorder="1" applyAlignment="1" applyProtection="1">
      <alignment horizontal="center" vertical="center"/>
    </xf>
    <xf numFmtId="0" fontId="3" fillId="2" borderId="8" xfId="0" applyFont="1" applyFill="1" applyBorder="1" applyAlignment="1" applyProtection="1">
      <alignment horizontal="center" vertical="center"/>
    </xf>
    <xf numFmtId="0" fontId="3" fillId="2" borderId="36" xfId="0" applyFont="1" applyFill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left" vertical="center" shrinkToFit="1"/>
    </xf>
    <xf numFmtId="0" fontId="2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24" fillId="0" borderId="0" xfId="0" applyFont="1" applyFill="1" applyBorder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center" vertical="center"/>
    </xf>
    <xf numFmtId="0" fontId="15" fillId="0" borderId="0" xfId="0" applyFont="1" applyBorder="1" applyAlignment="1" applyProtection="1">
      <alignment horizontal="center" vertical="center" shrinkToFit="1"/>
    </xf>
    <xf numFmtId="0" fontId="15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17" fillId="4" borderId="0" xfId="0" applyFont="1" applyFill="1" applyBorder="1" applyAlignment="1" applyProtection="1">
      <alignment horizontal="center" vertical="center"/>
    </xf>
    <xf numFmtId="0" fontId="9" fillId="0" borderId="10" xfId="0" applyFont="1" applyBorder="1" applyAlignment="1" applyProtection="1">
      <alignment horizontal="center" vertical="center" wrapText="1"/>
    </xf>
    <xf numFmtId="0" fontId="9" fillId="0" borderId="12" xfId="0" applyFont="1" applyBorder="1" applyAlignment="1" applyProtection="1">
      <alignment horizontal="center" vertical="center" wrapText="1"/>
    </xf>
    <xf numFmtId="0" fontId="9" fillId="0" borderId="45" xfId="0" applyFont="1" applyBorder="1" applyAlignment="1" applyProtection="1">
      <alignment horizontal="center" vertical="center" wrapText="1"/>
    </xf>
    <xf numFmtId="0" fontId="17" fillId="5" borderId="0" xfId="0" applyFont="1" applyFill="1" applyBorder="1" applyAlignment="1" applyProtection="1">
      <alignment horizontal="center" vertical="center"/>
    </xf>
    <xf numFmtId="0" fontId="17" fillId="6" borderId="0" xfId="0" applyFont="1" applyFill="1" applyBorder="1" applyAlignment="1" applyProtection="1">
      <alignment horizontal="center" vertical="center"/>
    </xf>
    <xf numFmtId="0" fontId="2" fillId="0" borderId="26" xfId="0" applyFont="1" applyBorder="1" applyAlignment="1" applyProtection="1">
      <alignment horizontal="left" vertical="center" shrinkToFit="1"/>
    </xf>
    <xf numFmtId="0" fontId="2" fillId="0" borderId="27" xfId="0" applyFont="1" applyBorder="1" applyAlignment="1" applyProtection="1">
      <alignment horizontal="left" vertical="center" shrinkToFit="1"/>
    </xf>
    <xf numFmtId="0" fontId="2" fillId="0" borderId="28" xfId="0" applyFont="1" applyBorder="1" applyAlignment="1" applyProtection="1">
      <alignment horizontal="left" vertical="center" shrinkToFit="1"/>
    </xf>
    <xf numFmtId="1" fontId="2" fillId="0" borderId="17" xfId="0" applyNumberFormat="1" applyFont="1" applyBorder="1" applyAlignment="1" applyProtection="1">
      <alignment horizontal="center"/>
    </xf>
    <xf numFmtId="1" fontId="2" fillId="0" borderId="14" xfId="0" applyNumberFormat="1" applyFont="1" applyBorder="1" applyAlignment="1" applyProtection="1">
      <alignment horizontal="center"/>
    </xf>
    <xf numFmtId="1" fontId="10" fillId="0" borderId="14" xfId="0" applyNumberFormat="1" applyFont="1" applyBorder="1" applyAlignment="1" applyProtection="1">
      <alignment horizontal="center"/>
    </xf>
    <xf numFmtId="1" fontId="10" fillId="0" borderId="24" xfId="0" applyNumberFormat="1" applyFont="1" applyBorder="1" applyAlignment="1" applyProtection="1">
      <alignment horizontal="center"/>
    </xf>
    <xf numFmtId="1" fontId="20" fillId="2" borderId="26" xfId="0" applyNumberFormat="1" applyFont="1" applyFill="1" applyBorder="1" applyAlignment="1" applyProtection="1">
      <alignment horizontal="center"/>
      <protection locked="0"/>
    </xf>
    <xf numFmtId="1" fontId="20" fillId="2" borderId="27" xfId="0" applyNumberFormat="1" applyFont="1" applyFill="1" applyBorder="1" applyAlignment="1" applyProtection="1">
      <alignment horizontal="center"/>
      <protection locked="0"/>
    </xf>
    <xf numFmtId="1" fontId="20" fillId="2" borderId="28" xfId="0" applyNumberFormat="1" applyFont="1" applyFill="1" applyBorder="1" applyAlignment="1" applyProtection="1">
      <alignment horizontal="center"/>
      <protection locked="0"/>
    </xf>
    <xf numFmtId="0" fontId="3" fillId="2" borderId="37" xfId="0" applyFont="1" applyFill="1" applyBorder="1" applyAlignment="1" applyProtection="1">
      <alignment horizontal="center" vertical="center" wrapText="1"/>
    </xf>
    <xf numFmtId="0" fontId="3" fillId="2" borderId="8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3" fillId="2" borderId="26" xfId="0" applyFont="1" applyFill="1" applyBorder="1" applyAlignment="1" applyProtection="1">
      <alignment horizontal="center" vertical="center" wrapText="1"/>
    </xf>
    <xf numFmtId="0" fontId="3" fillId="2" borderId="27" xfId="0" applyFont="1" applyFill="1" applyBorder="1" applyAlignment="1" applyProtection="1">
      <alignment horizontal="center" vertical="center" wrapText="1"/>
    </xf>
    <xf numFmtId="0" fontId="3" fillId="2" borderId="28" xfId="0" applyFont="1" applyFill="1" applyBorder="1" applyAlignment="1" applyProtection="1">
      <alignment horizontal="center" vertical="center" wrapText="1"/>
    </xf>
    <xf numFmtId="0" fontId="3" fillId="2" borderId="20" xfId="0" applyFont="1" applyFill="1" applyBorder="1" applyAlignment="1" applyProtection="1">
      <alignment horizontal="center" vertical="center" wrapText="1"/>
    </xf>
    <xf numFmtId="0" fontId="3" fillId="2" borderId="21" xfId="0" applyFont="1" applyFill="1" applyBorder="1" applyAlignment="1" applyProtection="1">
      <alignment horizontal="center" vertical="center" wrapText="1"/>
    </xf>
    <xf numFmtId="0" fontId="3" fillId="2" borderId="23" xfId="0" applyFont="1" applyFill="1" applyBorder="1" applyAlignment="1" applyProtection="1">
      <alignment horizontal="center" vertical="center" wrapText="1"/>
    </xf>
    <xf numFmtId="0" fontId="3" fillId="0" borderId="27" xfId="0" applyFont="1" applyBorder="1" applyAlignment="1" applyProtection="1">
      <alignment horizontal="center" vertical="center"/>
    </xf>
    <xf numFmtId="0" fontId="3" fillId="0" borderId="30" xfId="0" applyFont="1" applyBorder="1" applyAlignment="1" applyProtection="1">
      <alignment horizontal="center" vertical="center"/>
    </xf>
    <xf numFmtId="0" fontId="3" fillId="0" borderId="21" xfId="0" applyFont="1" applyBorder="1" applyAlignment="1" applyProtection="1">
      <alignment horizontal="center" vertical="center"/>
    </xf>
    <xf numFmtId="0" fontId="3" fillId="0" borderId="34" xfId="0" applyFont="1" applyBorder="1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55" xfId="0" applyFont="1" applyBorder="1" applyAlignment="1" applyProtection="1">
      <alignment horizontal="center" vertical="center"/>
    </xf>
    <xf numFmtId="0" fontId="3" fillId="0" borderId="56" xfId="0" applyFont="1" applyBorder="1" applyAlignment="1" applyProtection="1">
      <alignment horizontal="center" vertical="center"/>
    </xf>
    <xf numFmtId="0" fontId="3" fillId="0" borderId="37" xfId="0" applyFont="1" applyBorder="1" applyAlignment="1" applyProtection="1">
      <alignment horizontal="center" vertical="center"/>
    </xf>
    <xf numFmtId="0" fontId="3" fillId="0" borderId="26" xfId="0" applyFont="1" applyBorder="1" applyAlignment="1" applyProtection="1">
      <alignment horizontal="center" vertical="center"/>
    </xf>
    <xf numFmtId="0" fontId="3" fillId="0" borderId="20" xfId="0" applyFont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left" shrinkToFit="1"/>
    </xf>
    <xf numFmtId="0" fontId="3" fillId="0" borderId="38" xfId="0" applyFont="1" applyBorder="1" applyAlignment="1" applyProtection="1">
      <alignment horizontal="center" vertical="center"/>
    </xf>
    <xf numFmtId="0" fontId="3" fillId="0" borderId="9" xfId="0" applyFont="1" applyBorder="1" applyAlignment="1" applyProtection="1">
      <alignment horizontal="center" vertical="center"/>
    </xf>
    <xf numFmtId="0" fontId="3" fillId="0" borderId="19" xfId="0" applyFont="1" applyBorder="1" applyAlignment="1" applyProtection="1">
      <alignment horizontal="center" vertical="center"/>
    </xf>
    <xf numFmtId="0" fontId="3" fillId="0" borderId="35" xfId="0" applyFont="1" applyBorder="1" applyAlignment="1" applyProtection="1">
      <alignment horizontal="center" vertical="center"/>
    </xf>
    <xf numFmtId="0" fontId="3" fillId="0" borderId="52" xfId="0" applyFont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/>
    </xf>
    <xf numFmtId="0" fontId="6" fillId="0" borderId="0" xfId="0" applyFont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right"/>
    </xf>
    <xf numFmtId="0" fontId="2" fillId="0" borderId="20" xfId="0" applyFont="1" applyFill="1" applyBorder="1" applyAlignment="1" applyProtection="1">
      <alignment horizontal="center" vertical="center"/>
    </xf>
    <xf numFmtId="0" fontId="2" fillId="0" borderId="21" xfId="0" applyFont="1" applyFill="1" applyBorder="1" applyAlignment="1" applyProtection="1">
      <alignment horizontal="center" vertical="center"/>
    </xf>
    <xf numFmtId="0" fontId="2" fillId="0" borderId="23" xfId="0" applyFont="1" applyFill="1" applyBorder="1" applyAlignment="1" applyProtection="1">
      <alignment horizontal="center" vertical="center"/>
    </xf>
    <xf numFmtId="1" fontId="10" fillId="0" borderId="42" xfId="0" applyNumberFormat="1" applyFont="1" applyFill="1" applyBorder="1" applyAlignment="1" applyProtection="1">
      <alignment horizontal="center"/>
    </xf>
    <xf numFmtId="1" fontId="10" fillId="0" borderId="43" xfId="0" applyNumberFormat="1" applyFont="1" applyFill="1" applyBorder="1" applyAlignment="1" applyProtection="1">
      <alignment horizontal="center"/>
    </xf>
    <xf numFmtId="1" fontId="16" fillId="0" borderId="20" xfId="0" applyNumberFormat="1" applyFont="1" applyFill="1" applyBorder="1" applyAlignment="1" applyProtection="1">
      <alignment horizontal="center"/>
      <protection locked="0"/>
    </xf>
    <xf numFmtId="1" fontId="16" fillId="0" borderId="21" xfId="0" applyNumberFormat="1" applyFont="1" applyFill="1" applyBorder="1" applyAlignment="1" applyProtection="1">
      <alignment horizontal="center"/>
      <protection locked="0"/>
    </xf>
    <xf numFmtId="1" fontId="16" fillId="0" borderId="23" xfId="0" applyNumberFormat="1" applyFont="1" applyFill="1" applyBorder="1" applyAlignment="1" applyProtection="1">
      <alignment horizontal="center"/>
      <protection locked="0"/>
    </xf>
    <xf numFmtId="1" fontId="2" fillId="0" borderId="57" xfId="0" applyNumberFormat="1" applyFont="1" applyFill="1" applyBorder="1" applyAlignment="1" applyProtection="1">
      <alignment horizontal="center"/>
    </xf>
    <xf numFmtId="1" fontId="2" fillId="0" borderId="42" xfId="0" applyNumberFormat="1" applyFont="1" applyFill="1" applyBorder="1" applyAlignment="1" applyProtection="1">
      <alignment horizontal="center"/>
    </xf>
    <xf numFmtId="0" fontId="26" fillId="0" borderId="13" xfId="0" applyFont="1" applyBorder="1" applyAlignment="1" applyProtection="1">
      <alignment horizontal="left" vertical="center" shrinkToFit="1"/>
    </xf>
    <xf numFmtId="0" fontId="26" fillId="0" borderId="14" xfId="0" applyFont="1" applyBorder="1" applyAlignment="1" applyProtection="1">
      <alignment horizontal="left" vertical="center" shrinkToFit="1"/>
    </xf>
    <xf numFmtId="0" fontId="26" fillId="0" borderId="40" xfId="0" applyFont="1" applyBorder="1" applyAlignment="1" applyProtection="1">
      <alignment horizontal="left" vertical="center" shrinkToFit="1"/>
    </xf>
    <xf numFmtId="0" fontId="4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15" fillId="0" borderId="0" xfId="0" applyFont="1" applyBorder="1" applyAlignment="1" applyProtection="1">
      <alignment horizontal="center" shrinkToFit="1"/>
    </xf>
    <xf numFmtId="0" fontId="15" fillId="0" borderId="0" xfId="0" applyFont="1" applyBorder="1" applyAlignment="1" applyProtection="1">
      <alignment horizontal="center"/>
    </xf>
    <xf numFmtId="0" fontId="2" fillId="0" borderId="35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1" fontId="20" fillId="2" borderId="13" xfId="0" applyNumberFormat="1" applyFont="1" applyFill="1" applyBorder="1" applyAlignment="1" applyProtection="1">
      <alignment horizontal="center"/>
      <protection locked="0"/>
    </xf>
    <xf numFmtId="1" fontId="20" fillId="2" borderId="14" xfId="0" applyNumberFormat="1" applyFont="1" applyFill="1" applyBorder="1" applyAlignment="1" applyProtection="1">
      <alignment horizontal="center"/>
      <protection locked="0"/>
    </xf>
    <xf numFmtId="1" fontId="20" fillId="2" borderId="40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38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 val="0"/>
        <condense val="0"/>
        <extend val="0"/>
        <color auto="1"/>
      </font>
    </dxf>
    <dxf>
      <font>
        <b val="0"/>
        <condense val="0"/>
        <extend val="0"/>
        <color auto="1"/>
      </font>
    </dxf>
    <dxf>
      <font>
        <b val="0"/>
        <condense val="0"/>
        <extend val="0"/>
        <color indexed="10"/>
      </font>
    </dxf>
    <dxf>
      <font>
        <color rgb="FFC00000"/>
      </font>
    </dxf>
    <dxf>
      <font>
        <color rgb="FFC00000"/>
      </font>
    </dxf>
    <dxf>
      <font>
        <b val="0"/>
        <condense val="0"/>
        <extend val="0"/>
        <color auto="1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b val="0"/>
        <condense val="0"/>
        <extend val="0"/>
        <color auto="1"/>
      </font>
    </dxf>
    <dxf>
      <font>
        <b val="0"/>
        <condense val="0"/>
        <extend val="0"/>
        <color indexed="1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b val="0"/>
        <condense val="0"/>
        <extend val="0"/>
        <color auto="1"/>
      </font>
    </dxf>
    <dxf>
      <font>
        <b val="0"/>
        <condense val="0"/>
        <extend val="0"/>
        <color indexed="1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b val="0"/>
        <condense val="0"/>
        <extend val="0"/>
        <color auto="1"/>
      </font>
    </dxf>
    <dxf>
      <font>
        <b val="0"/>
        <condense val="0"/>
        <extend val="0"/>
        <color indexed="1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b val="0"/>
        <condense val="0"/>
        <extend val="0"/>
        <color auto="1"/>
      </font>
    </dxf>
    <dxf>
      <font>
        <b val="0"/>
        <condense val="0"/>
        <extend val="0"/>
        <color indexed="10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Google%20Drive/1_GRADES/0_Grades_1st%20Sem%202022-2023/IT%201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ject_Info"/>
      <sheetName val="Record"/>
      <sheetName val="Prelim"/>
      <sheetName val="Midterm"/>
      <sheetName val="Prefinal"/>
      <sheetName val="Final"/>
      <sheetName val="Average_Final"/>
      <sheetName val="PreMid"/>
      <sheetName val="PreFin"/>
    </sheetNames>
    <sheetDataSet>
      <sheetData sheetId="0">
        <row r="7">
          <cell r="B7" t="str">
            <v>JENNIFER L. PIDO</v>
          </cell>
        </row>
        <row r="9">
          <cell r="B9" t="str">
            <v>DR. REYNALDO B. ROJO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A1:B9"/>
  <sheetViews>
    <sheetView zoomScale="175" zoomScaleNormal="175" workbookViewId="0">
      <selection activeCell="B9" sqref="B9"/>
    </sheetView>
  </sheetViews>
  <sheetFormatPr defaultColWidth="9.140625" defaultRowHeight="16.5" x14ac:dyDescent="0.3"/>
  <cols>
    <col min="1" max="1" width="17.7109375" style="1" customWidth="1"/>
    <col min="2" max="2" width="28.140625" style="17" customWidth="1"/>
    <col min="3" max="16384" width="9.140625" style="14"/>
  </cols>
  <sheetData>
    <row r="1" spans="1:2" x14ac:dyDescent="0.3">
      <c r="A1" s="50" t="s">
        <v>2</v>
      </c>
      <c r="B1" s="51"/>
    </row>
    <row r="2" spans="1:2" x14ac:dyDescent="0.3">
      <c r="A2" s="50" t="s">
        <v>54</v>
      </c>
      <c r="B2" s="51"/>
    </row>
    <row r="3" spans="1:2" x14ac:dyDescent="0.3">
      <c r="A3" s="50" t="s">
        <v>10</v>
      </c>
      <c r="B3" s="51"/>
    </row>
    <row r="4" spans="1:2" x14ac:dyDescent="0.3">
      <c r="A4" s="52" t="s">
        <v>3</v>
      </c>
      <c r="B4" s="51"/>
    </row>
    <row r="5" spans="1:2" x14ac:dyDescent="0.3">
      <c r="A5" s="52" t="s">
        <v>8</v>
      </c>
      <c r="B5" s="51"/>
    </row>
    <row r="6" spans="1:2" x14ac:dyDescent="0.3">
      <c r="A6" s="52" t="s">
        <v>11</v>
      </c>
      <c r="B6" s="51"/>
    </row>
    <row r="7" spans="1:2" x14ac:dyDescent="0.3">
      <c r="A7" s="50" t="s">
        <v>51</v>
      </c>
      <c r="B7" s="51"/>
    </row>
    <row r="8" spans="1:2" x14ac:dyDescent="0.3">
      <c r="A8" s="50" t="s">
        <v>52</v>
      </c>
      <c r="B8" s="51"/>
    </row>
    <row r="9" spans="1:2" x14ac:dyDescent="0.3">
      <c r="A9" s="50" t="s">
        <v>53</v>
      </c>
      <c r="B9" s="51"/>
    </row>
  </sheetData>
  <sheetProtection formatCells="0" deleteColumns="0" deleteRows="0" selectLockedCells="1"/>
  <pageMargins left="0.2" right="0.2" top="0.25" bottom="0.25" header="0.3" footer="0.3"/>
  <pageSetup scale="85" orientation="landscape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A1:BC16"/>
  <sheetViews>
    <sheetView tabSelected="1" zoomScaleNormal="100" workbookViewId="0">
      <pane xSplit="8" ySplit="4" topLeftCell="I5" activePane="bottomRight" state="frozen"/>
      <selection activeCell="B7" sqref="B7"/>
      <selection pane="topRight" activeCell="B7" sqref="B7"/>
      <selection pane="bottomLeft" activeCell="B7" sqref="B7"/>
      <selection pane="bottomRight" activeCell="B6" sqref="B6:H15"/>
    </sheetView>
  </sheetViews>
  <sheetFormatPr defaultColWidth="9.140625" defaultRowHeight="16.5" x14ac:dyDescent="0.3"/>
  <cols>
    <col min="1" max="1" width="2.5703125" style="25" customWidth="1"/>
    <col min="2" max="2" width="5" style="14" customWidth="1"/>
    <col min="3" max="8" width="3.42578125" style="14" customWidth="1"/>
    <col min="9" max="18" width="3.85546875" style="25" customWidth="1"/>
    <col min="19" max="19" width="5" style="25" customWidth="1"/>
    <col min="20" max="20" width="1.85546875" style="25" customWidth="1"/>
    <col min="21" max="30" width="3.85546875" style="25" customWidth="1"/>
    <col min="31" max="31" width="5" style="25" customWidth="1"/>
    <col min="32" max="32" width="1.85546875" style="14" customWidth="1"/>
    <col min="33" max="42" width="3.85546875" style="25" customWidth="1"/>
    <col min="43" max="43" width="5" style="25" customWidth="1"/>
    <col min="44" max="44" width="1.85546875" style="25" customWidth="1"/>
    <col min="45" max="54" width="3.85546875" style="25" customWidth="1"/>
    <col min="55" max="55" width="5" style="25" customWidth="1"/>
    <col min="56" max="16384" width="9.140625" style="14"/>
  </cols>
  <sheetData>
    <row r="1" spans="1:55" s="43" customFormat="1" ht="28.5" thickBot="1" x14ac:dyDescent="0.5">
      <c r="A1" s="144" t="str">
        <f>IF(Subject_Info!B1 &amp; " - " &amp;Subject_Info!B3="","",Subject_Info!B1 &amp; " - " &amp;Subject_Info!B3)</f>
        <v xml:space="preserve"> - </v>
      </c>
      <c r="B1" s="145"/>
      <c r="C1" s="145"/>
      <c r="D1" s="145"/>
      <c r="E1" s="145"/>
      <c r="F1" s="145"/>
      <c r="G1" s="145"/>
      <c r="H1" s="145"/>
      <c r="I1" s="169" t="s">
        <v>5</v>
      </c>
      <c r="J1" s="170"/>
      <c r="K1" s="170"/>
      <c r="L1" s="170"/>
      <c r="M1" s="170"/>
      <c r="N1" s="170"/>
      <c r="O1" s="170"/>
      <c r="P1" s="170"/>
      <c r="Q1" s="170"/>
      <c r="R1" s="170"/>
      <c r="S1" s="171"/>
      <c r="T1" s="41"/>
      <c r="U1" s="166" t="s">
        <v>41</v>
      </c>
      <c r="V1" s="167"/>
      <c r="W1" s="167"/>
      <c r="X1" s="167"/>
      <c r="Y1" s="167"/>
      <c r="Z1" s="167"/>
      <c r="AA1" s="167"/>
      <c r="AB1" s="167"/>
      <c r="AC1" s="167"/>
      <c r="AD1" s="167"/>
      <c r="AE1" s="168"/>
      <c r="AG1" s="163" t="s">
        <v>43</v>
      </c>
      <c r="AH1" s="164"/>
      <c r="AI1" s="164"/>
      <c r="AJ1" s="164"/>
      <c r="AK1" s="164"/>
      <c r="AL1" s="164"/>
      <c r="AM1" s="164"/>
      <c r="AN1" s="164"/>
      <c r="AO1" s="164"/>
      <c r="AP1" s="164"/>
      <c r="AQ1" s="165"/>
      <c r="AR1" s="41"/>
      <c r="AS1" s="155" t="s">
        <v>44</v>
      </c>
      <c r="AT1" s="156"/>
      <c r="AU1" s="156"/>
      <c r="AV1" s="156"/>
      <c r="AW1" s="156"/>
      <c r="AX1" s="156"/>
      <c r="AY1" s="156"/>
      <c r="AZ1" s="156"/>
      <c r="BA1" s="156"/>
      <c r="BB1" s="156"/>
      <c r="BC1" s="157"/>
    </row>
    <row r="2" spans="1:55" s="2" customFormat="1" ht="17.25" customHeight="1" x14ac:dyDescent="0.25">
      <c r="A2" s="152" t="s">
        <v>14</v>
      </c>
      <c r="B2" s="146" t="s">
        <v>15</v>
      </c>
      <c r="C2" s="147"/>
      <c r="D2" s="147"/>
      <c r="E2" s="147"/>
      <c r="F2" s="147"/>
      <c r="G2" s="147"/>
      <c r="H2" s="148"/>
      <c r="I2" s="158" t="s">
        <v>48</v>
      </c>
      <c r="J2" s="159"/>
      <c r="K2" s="159"/>
      <c r="L2" s="159"/>
      <c r="M2" s="159"/>
      <c r="N2" s="160" t="s">
        <v>49</v>
      </c>
      <c r="O2" s="161"/>
      <c r="P2" s="161"/>
      <c r="Q2" s="161"/>
      <c r="R2" s="162"/>
      <c r="S2" s="90" t="s">
        <v>50</v>
      </c>
      <c r="U2" s="158" t="s">
        <v>48</v>
      </c>
      <c r="V2" s="159"/>
      <c r="W2" s="159"/>
      <c r="X2" s="159"/>
      <c r="Y2" s="159"/>
      <c r="Z2" s="160" t="s">
        <v>49</v>
      </c>
      <c r="AA2" s="161"/>
      <c r="AB2" s="161"/>
      <c r="AC2" s="161"/>
      <c r="AD2" s="162"/>
      <c r="AE2" s="91" t="s">
        <v>50</v>
      </c>
      <c r="AG2" s="158" t="s">
        <v>48</v>
      </c>
      <c r="AH2" s="159"/>
      <c r="AI2" s="159"/>
      <c r="AJ2" s="159"/>
      <c r="AK2" s="159"/>
      <c r="AL2" s="160" t="s">
        <v>49</v>
      </c>
      <c r="AM2" s="161"/>
      <c r="AN2" s="161"/>
      <c r="AO2" s="161"/>
      <c r="AP2" s="162"/>
      <c r="AQ2" s="91" t="s">
        <v>50</v>
      </c>
      <c r="AS2" s="158" t="s">
        <v>48</v>
      </c>
      <c r="AT2" s="159"/>
      <c r="AU2" s="159"/>
      <c r="AV2" s="159"/>
      <c r="AW2" s="159"/>
      <c r="AX2" s="160" t="s">
        <v>49</v>
      </c>
      <c r="AY2" s="161"/>
      <c r="AZ2" s="161"/>
      <c r="BA2" s="161"/>
      <c r="BB2" s="162"/>
      <c r="BC2" s="91" t="s">
        <v>50</v>
      </c>
    </row>
    <row r="3" spans="1:55" ht="17.25" customHeight="1" x14ac:dyDescent="0.3">
      <c r="A3" s="153"/>
      <c r="B3" s="138" t="s">
        <v>55</v>
      </c>
      <c r="C3" s="139"/>
      <c r="D3" s="139"/>
      <c r="E3" s="139"/>
      <c r="F3" s="139"/>
      <c r="G3" s="139"/>
      <c r="H3" s="140"/>
      <c r="I3" s="19"/>
      <c r="J3" s="20"/>
      <c r="K3" s="20"/>
      <c r="L3" s="20"/>
      <c r="M3" s="21"/>
      <c r="N3" s="22"/>
      <c r="O3" s="23"/>
      <c r="P3" s="23"/>
      <c r="Q3" s="23"/>
      <c r="R3" s="24"/>
      <c r="S3" s="26"/>
      <c r="U3" s="19"/>
      <c r="V3" s="20"/>
      <c r="W3" s="20"/>
      <c r="X3" s="20"/>
      <c r="Y3" s="21"/>
      <c r="Z3" s="22"/>
      <c r="AA3" s="23"/>
      <c r="AB3" s="23"/>
      <c r="AC3" s="23"/>
      <c r="AD3" s="24"/>
      <c r="AE3" s="26"/>
      <c r="AG3" s="19"/>
      <c r="AH3" s="20"/>
      <c r="AI3" s="20"/>
      <c r="AJ3" s="20"/>
      <c r="AK3" s="21"/>
      <c r="AL3" s="19"/>
      <c r="AM3" s="20"/>
      <c r="AN3" s="20"/>
      <c r="AO3" s="20"/>
      <c r="AP3" s="24"/>
      <c r="AQ3" s="26"/>
      <c r="AS3" s="19"/>
      <c r="AT3" s="20"/>
      <c r="AU3" s="20"/>
      <c r="AV3" s="20"/>
      <c r="AW3" s="21"/>
      <c r="AX3" s="22"/>
      <c r="AY3" s="23"/>
      <c r="AZ3" s="23"/>
      <c r="BA3" s="23"/>
      <c r="BB3" s="24"/>
      <c r="BC3" s="26"/>
    </row>
    <row r="4" spans="1:55" s="15" customFormat="1" ht="17.25" customHeight="1" thickBot="1" x14ac:dyDescent="0.4">
      <c r="A4" s="154"/>
      <c r="B4" s="141" t="s">
        <v>56</v>
      </c>
      <c r="C4" s="142"/>
      <c r="D4" s="142"/>
      <c r="E4" s="142"/>
      <c r="F4" s="142"/>
      <c r="G4" s="142"/>
      <c r="H4" s="143"/>
      <c r="I4" s="27">
        <v>20</v>
      </c>
      <c r="J4" s="28">
        <v>15</v>
      </c>
      <c r="K4" s="28">
        <v>10</v>
      </c>
      <c r="L4" s="28"/>
      <c r="M4" s="29"/>
      <c r="N4" s="27">
        <v>10</v>
      </c>
      <c r="O4" s="28">
        <v>10</v>
      </c>
      <c r="P4" s="28">
        <v>10</v>
      </c>
      <c r="Q4" s="28"/>
      <c r="R4" s="30"/>
      <c r="S4" s="31">
        <v>50</v>
      </c>
      <c r="T4" s="2"/>
      <c r="U4" s="27">
        <v>10</v>
      </c>
      <c r="V4" s="28">
        <v>15</v>
      </c>
      <c r="W4" s="28">
        <v>10</v>
      </c>
      <c r="X4" s="28"/>
      <c r="Y4" s="29"/>
      <c r="Z4" s="27">
        <v>10</v>
      </c>
      <c r="AA4" s="28">
        <v>10</v>
      </c>
      <c r="AB4" s="28">
        <v>10</v>
      </c>
      <c r="AC4" s="28">
        <v>10</v>
      </c>
      <c r="AD4" s="30"/>
      <c r="AE4" s="31">
        <v>35</v>
      </c>
      <c r="AF4" s="44"/>
      <c r="AG4" s="27">
        <v>15</v>
      </c>
      <c r="AH4" s="28">
        <v>15</v>
      </c>
      <c r="AI4" s="28">
        <v>15</v>
      </c>
      <c r="AJ4" s="28"/>
      <c r="AK4" s="29"/>
      <c r="AL4" s="27">
        <v>10</v>
      </c>
      <c r="AM4" s="28">
        <v>10</v>
      </c>
      <c r="AN4" s="28">
        <v>10</v>
      </c>
      <c r="AO4" s="28"/>
      <c r="AP4" s="95"/>
      <c r="AQ4" s="31">
        <v>35</v>
      </c>
      <c r="AR4" s="45"/>
      <c r="AS4" s="27">
        <v>15</v>
      </c>
      <c r="AT4" s="28">
        <v>10</v>
      </c>
      <c r="AU4" s="28">
        <v>15</v>
      </c>
      <c r="AV4" s="28"/>
      <c r="AW4" s="29"/>
      <c r="AX4" s="27">
        <v>10</v>
      </c>
      <c r="AY4" s="28">
        <v>10</v>
      </c>
      <c r="AZ4" s="28">
        <v>10</v>
      </c>
      <c r="BA4" s="28">
        <v>10</v>
      </c>
      <c r="BB4" s="30"/>
      <c r="BC4" s="31">
        <v>40</v>
      </c>
    </row>
    <row r="5" spans="1:55" ht="20.25" customHeight="1" x14ac:dyDescent="0.35">
      <c r="A5" s="92"/>
      <c r="B5" s="149"/>
      <c r="C5" s="150"/>
      <c r="D5" s="150"/>
      <c r="E5" s="150"/>
      <c r="F5" s="150"/>
      <c r="G5" s="150"/>
      <c r="H5" s="151"/>
      <c r="I5" s="32"/>
      <c r="J5" s="4"/>
      <c r="K5" s="4"/>
      <c r="L5" s="4"/>
      <c r="M5" s="5"/>
      <c r="N5" s="32"/>
      <c r="O5" s="4"/>
      <c r="P5" s="4"/>
      <c r="Q5" s="4"/>
      <c r="R5" s="48"/>
      <c r="S5" s="34"/>
      <c r="U5" s="32"/>
      <c r="V5" s="4"/>
      <c r="W5" s="4"/>
      <c r="X5" s="4"/>
      <c r="Y5" s="5"/>
      <c r="Z5" s="32"/>
      <c r="AA5" s="4"/>
      <c r="AB5" s="4"/>
      <c r="AC5" s="4"/>
      <c r="AD5" s="48"/>
      <c r="AE5" s="34"/>
      <c r="AF5" s="46"/>
      <c r="AG5" s="32"/>
      <c r="AH5" s="4"/>
      <c r="AI5" s="4"/>
      <c r="AJ5" s="4"/>
      <c r="AK5" s="5"/>
      <c r="AL5" s="32"/>
      <c r="AM5" s="4"/>
      <c r="AN5" s="4"/>
      <c r="AO5" s="4"/>
      <c r="AP5" s="48"/>
      <c r="AQ5" s="34"/>
      <c r="AR5" s="47"/>
      <c r="AS5" s="32"/>
      <c r="AT5" s="4"/>
      <c r="AU5" s="4"/>
      <c r="AV5" s="4"/>
      <c r="AW5" s="5"/>
      <c r="AX5" s="32"/>
      <c r="AY5" s="4"/>
      <c r="AZ5" s="4"/>
      <c r="BA5" s="4"/>
      <c r="BB5" s="48"/>
      <c r="BC5" s="34"/>
    </row>
    <row r="6" spans="1:55" ht="20.25" customHeight="1" x14ac:dyDescent="0.35">
      <c r="A6" s="92">
        <v>1</v>
      </c>
      <c r="B6" s="132" t="s">
        <v>62</v>
      </c>
      <c r="C6" s="133"/>
      <c r="D6" s="133"/>
      <c r="E6" s="133"/>
      <c r="F6" s="133"/>
      <c r="G6" s="133"/>
      <c r="H6" s="134"/>
      <c r="I6" s="32">
        <v>5</v>
      </c>
      <c r="J6" s="4">
        <v>10</v>
      </c>
      <c r="K6" s="4">
        <v>9</v>
      </c>
      <c r="L6" s="4"/>
      <c r="M6" s="5"/>
      <c r="N6" s="32">
        <v>10</v>
      </c>
      <c r="O6" s="4">
        <v>10</v>
      </c>
      <c r="P6" s="4">
        <v>10</v>
      </c>
      <c r="Q6" s="4"/>
      <c r="R6" s="48"/>
      <c r="S6" s="34">
        <v>38</v>
      </c>
      <c r="U6" s="32">
        <v>8</v>
      </c>
      <c r="V6" s="4">
        <v>10</v>
      </c>
      <c r="W6" s="4">
        <v>10</v>
      </c>
      <c r="X6" s="4"/>
      <c r="Y6" s="5"/>
      <c r="Z6" s="32">
        <v>0</v>
      </c>
      <c r="AA6" s="4">
        <v>7</v>
      </c>
      <c r="AB6" s="4">
        <v>10</v>
      </c>
      <c r="AC6" s="4">
        <v>10</v>
      </c>
      <c r="AD6" s="48"/>
      <c r="AE6" s="34">
        <v>31</v>
      </c>
      <c r="AF6" s="46"/>
      <c r="AG6" s="32">
        <v>12</v>
      </c>
      <c r="AH6" s="4">
        <v>14</v>
      </c>
      <c r="AI6" s="4">
        <v>12</v>
      </c>
      <c r="AJ6" s="4"/>
      <c r="AK6" s="5"/>
      <c r="AL6" s="32">
        <v>9</v>
      </c>
      <c r="AM6" s="4">
        <v>10</v>
      </c>
      <c r="AN6" s="4">
        <v>6</v>
      </c>
      <c r="AO6" s="4"/>
      <c r="AP6" s="48"/>
      <c r="AQ6" s="34">
        <v>30</v>
      </c>
      <c r="AR6" s="47"/>
      <c r="AS6" s="32">
        <v>14</v>
      </c>
      <c r="AT6" s="4">
        <v>10</v>
      </c>
      <c r="AU6" s="4">
        <v>15</v>
      </c>
      <c r="AV6" s="4"/>
      <c r="AW6" s="5"/>
      <c r="AX6" s="32">
        <v>10</v>
      </c>
      <c r="AY6" s="4">
        <v>10</v>
      </c>
      <c r="AZ6" s="4">
        <v>9</v>
      </c>
      <c r="BA6" s="4">
        <v>10</v>
      </c>
      <c r="BB6" s="48"/>
      <c r="BC6" s="34">
        <v>40</v>
      </c>
    </row>
    <row r="7" spans="1:55" ht="20.25" customHeight="1" x14ac:dyDescent="0.35">
      <c r="A7" s="92">
        <v>2</v>
      </c>
      <c r="B7" s="132" t="s">
        <v>61</v>
      </c>
      <c r="C7" s="133"/>
      <c r="D7" s="133"/>
      <c r="E7" s="133"/>
      <c r="F7" s="133"/>
      <c r="G7" s="133"/>
      <c r="H7" s="134"/>
      <c r="I7" s="32">
        <v>20</v>
      </c>
      <c r="J7" s="4">
        <v>15</v>
      </c>
      <c r="K7" s="4">
        <v>7</v>
      </c>
      <c r="L7" s="4"/>
      <c r="M7" s="5"/>
      <c r="N7" s="32">
        <v>10</v>
      </c>
      <c r="O7" s="4">
        <v>10</v>
      </c>
      <c r="P7" s="4">
        <v>6</v>
      </c>
      <c r="Q7" s="4"/>
      <c r="R7" s="48"/>
      <c r="S7" s="34">
        <v>37</v>
      </c>
      <c r="U7" s="32">
        <v>10</v>
      </c>
      <c r="V7" s="4">
        <v>11</v>
      </c>
      <c r="W7" s="4">
        <v>10</v>
      </c>
      <c r="X7" s="4"/>
      <c r="Y7" s="5"/>
      <c r="Z7" s="32">
        <v>8</v>
      </c>
      <c r="AA7" s="4">
        <v>7</v>
      </c>
      <c r="AB7" s="4">
        <v>7</v>
      </c>
      <c r="AC7" s="4">
        <v>7</v>
      </c>
      <c r="AD7" s="48"/>
      <c r="AE7" s="34">
        <v>27</v>
      </c>
      <c r="AF7" s="46"/>
      <c r="AG7" s="32">
        <v>11</v>
      </c>
      <c r="AH7" s="4">
        <v>11</v>
      </c>
      <c r="AI7" s="4">
        <v>13</v>
      </c>
      <c r="AJ7" s="4"/>
      <c r="AK7" s="5"/>
      <c r="AL7" s="32">
        <v>8</v>
      </c>
      <c r="AM7" s="4">
        <v>7</v>
      </c>
      <c r="AN7" s="4">
        <v>6</v>
      </c>
      <c r="AO7" s="4"/>
      <c r="AP7" s="48"/>
      <c r="AQ7" s="34">
        <v>27</v>
      </c>
      <c r="AR7" s="47"/>
      <c r="AS7" s="32">
        <v>13</v>
      </c>
      <c r="AT7" s="4">
        <v>7</v>
      </c>
      <c r="AU7" s="4">
        <v>13</v>
      </c>
      <c r="AV7" s="4"/>
      <c r="AW7" s="5"/>
      <c r="AX7" s="32">
        <v>10</v>
      </c>
      <c r="AY7" s="4">
        <v>7</v>
      </c>
      <c r="AZ7" s="4">
        <v>8</v>
      </c>
      <c r="BA7" s="4">
        <v>10</v>
      </c>
      <c r="BB7" s="48"/>
      <c r="BC7" s="34">
        <v>35</v>
      </c>
    </row>
    <row r="8" spans="1:55" ht="20.25" customHeight="1" x14ac:dyDescent="0.35">
      <c r="A8" s="92">
        <v>3</v>
      </c>
      <c r="B8" s="132" t="s">
        <v>63</v>
      </c>
      <c r="C8" s="133"/>
      <c r="D8" s="133"/>
      <c r="E8" s="133"/>
      <c r="F8" s="133"/>
      <c r="G8" s="133"/>
      <c r="H8" s="134"/>
      <c r="I8" s="32">
        <v>5</v>
      </c>
      <c r="J8" s="4">
        <v>11</v>
      </c>
      <c r="K8" s="4">
        <v>8</v>
      </c>
      <c r="L8" s="4"/>
      <c r="M8" s="5"/>
      <c r="N8" s="32">
        <v>10</v>
      </c>
      <c r="O8" s="4">
        <v>10</v>
      </c>
      <c r="P8" s="4">
        <v>10</v>
      </c>
      <c r="Q8" s="4"/>
      <c r="R8" s="48"/>
      <c r="S8" s="34">
        <v>31</v>
      </c>
      <c r="U8" s="32">
        <v>9</v>
      </c>
      <c r="V8" s="4">
        <v>8</v>
      </c>
      <c r="W8" s="4">
        <v>10</v>
      </c>
      <c r="X8" s="4"/>
      <c r="Y8" s="5"/>
      <c r="Z8" s="32">
        <v>8</v>
      </c>
      <c r="AA8" s="4">
        <v>7</v>
      </c>
      <c r="AB8" s="4">
        <v>6</v>
      </c>
      <c r="AC8" s="4">
        <v>6</v>
      </c>
      <c r="AD8" s="48"/>
      <c r="AE8" s="34">
        <v>21</v>
      </c>
      <c r="AF8" s="46"/>
      <c r="AG8" s="32">
        <v>0</v>
      </c>
      <c r="AH8" s="4">
        <v>0</v>
      </c>
      <c r="AI8" s="4">
        <v>6</v>
      </c>
      <c r="AJ8" s="4"/>
      <c r="AK8" s="5"/>
      <c r="AL8" s="32">
        <v>6</v>
      </c>
      <c r="AM8" s="4">
        <v>5</v>
      </c>
      <c r="AN8" s="4">
        <v>6</v>
      </c>
      <c r="AO8" s="4"/>
      <c r="AP8" s="48"/>
      <c r="AQ8" s="34">
        <v>19</v>
      </c>
      <c r="AR8" s="47"/>
      <c r="AS8" s="32">
        <v>10</v>
      </c>
      <c r="AT8" s="4">
        <v>9</v>
      </c>
      <c r="AU8" s="4">
        <v>9</v>
      </c>
      <c r="AV8" s="4"/>
      <c r="AW8" s="5"/>
      <c r="AX8" s="32">
        <v>10</v>
      </c>
      <c r="AY8" s="4">
        <v>9</v>
      </c>
      <c r="AZ8" s="4">
        <v>6</v>
      </c>
      <c r="BA8" s="4">
        <v>10</v>
      </c>
      <c r="BB8" s="48"/>
      <c r="BC8" s="34">
        <v>29</v>
      </c>
    </row>
    <row r="9" spans="1:55" ht="20.25" customHeight="1" x14ac:dyDescent="0.35">
      <c r="A9" s="92">
        <v>4</v>
      </c>
      <c r="B9" s="132" t="s">
        <v>64</v>
      </c>
      <c r="C9" s="133"/>
      <c r="D9" s="133"/>
      <c r="E9" s="133"/>
      <c r="F9" s="133"/>
      <c r="G9" s="133"/>
      <c r="H9" s="134"/>
      <c r="I9" s="3">
        <v>5</v>
      </c>
      <c r="J9" s="4">
        <v>12</v>
      </c>
      <c r="K9" s="4">
        <v>7</v>
      </c>
      <c r="L9" s="4"/>
      <c r="M9" s="5"/>
      <c r="N9" s="32">
        <v>10</v>
      </c>
      <c r="O9" s="4">
        <v>10</v>
      </c>
      <c r="P9" s="4">
        <v>8</v>
      </c>
      <c r="Q9" s="4"/>
      <c r="R9" s="48"/>
      <c r="S9" s="33">
        <v>37</v>
      </c>
      <c r="U9" s="32">
        <v>9</v>
      </c>
      <c r="V9" s="4">
        <v>8</v>
      </c>
      <c r="W9" s="4">
        <v>10</v>
      </c>
      <c r="X9" s="4"/>
      <c r="Y9" s="5"/>
      <c r="Z9" s="32">
        <v>9</v>
      </c>
      <c r="AA9" s="4">
        <v>9</v>
      </c>
      <c r="AB9" s="4">
        <v>10</v>
      </c>
      <c r="AC9" s="4">
        <v>5</v>
      </c>
      <c r="AD9" s="48"/>
      <c r="AE9" s="34">
        <v>33</v>
      </c>
      <c r="AF9" s="46"/>
      <c r="AG9" s="32">
        <v>11</v>
      </c>
      <c r="AH9" s="4">
        <v>13</v>
      </c>
      <c r="AI9" s="4">
        <v>12</v>
      </c>
      <c r="AJ9" s="4"/>
      <c r="AK9" s="5"/>
      <c r="AL9" s="32">
        <v>9</v>
      </c>
      <c r="AM9" s="4">
        <v>9</v>
      </c>
      <c r="AN9" s="4">
        <v>6</v>
      </c>
      <c r="AO9" s="4"/>
      <c r="AP9" s="48"/>
      <c r="AQ9" s="34">
        <v>30</v>
      </c>
      <c r="AR9" s="47"/>
      <c r="AS9" s="32">
        <v>13</v>
      </c>
      <c r="AT9" s="4">
        <v>9</v>
      </c>
      <c r="AU9" s="4">
        <v>13</v>
      </c>
      <c r="AV9" s="4"/>
      <c r="AW9" s="5"/>
      <c r="AX9" s="32">
        <v>10</v>
      </c>
      <c r="AY9" s="4">
        <v>9</v>
      </c>
      <c r="AZ9" s="4">
        <v>8</v>
      </c>
      <c r="BA9" s="4">
        <v>10</v>
      </c>
      <c r="BB9" s="48"/>
      <c r="BC9" s="34">
        <v>35</v>
      </c>
    </row>
    <row r="10" spans="1:55" ht="20.25" customHeight="1" x14ac:dyDescent="0.35">
      <c r="A10" s="92">
        <v>5</v>
      </c>
      <c r="B10" s="132" t="s">
        <v>65</v>
      </c>
      <c r="C10" s="133"/>
      <c r="D10" s="133"/>
      <c r="E10" s="133"/>
      <c r="F10" s="133"/>
      <c r="G10" s="133"/>
      <c r="H10" s="134"/>
      <c r="I10" s="32">
        <v>17</v>
      </c>
      <c r="J10" s="4">
        <v>9</v>
      </c>
      <c r="K10" s="4">
        <v>7</v>
      </c>
      <c r="L10" s="4"/>
      <c r="M10" s="5"/>
      <c r="N10" s="32">
        <v>10</v>
      </c>
      <c r="O10" s="4">
        <v>8</v>
      </c>
      <c r="P10" s="4">
        <v>7</v>
      </c>
      <c r="Q10" s="4"/>
      <c r="R10" s="48"/>
      <c r="S10" s="34">
        <v>31</v>
      </c>
      <c r="U10" s="32">
        <v>7</v>
      </c>
      <c r="V10" s="4">
        <v>11</v>
      </c>
      <c r="W10" s="4">
        <v>10</v>
      </c>
      <c r="X10" s="4"/>
      <c r="Y10" s="5"/>
      <c r="Z10" s="32">
        <v>6</v>
      </c>
      <c r="AA10" s="4">
        <v>6</v>
      </c>
      <c r="AB10" s="4">
        <v>8</v>
      </c>
      <c r="AC10" s="4">
        <v>10</v>
      </c>
      <c r="AD10" s="48"/>
      <c r="AE10" s="34">
        <v>32</v>
      </c>
      <c r="AF10" s="46"/>
      <c r="AG10" s="32">
        <v>8</v>
      </c>
      <c r="AH10" s="4">
        <v>9</v>
      </c>
      <c r="AI10" s="4">
        <v>10</v>
      </c>
      <c r="AJ10" s="4"/>
      <c r="AK10" s="5"/>
      <c r="AL10" s="32">
        <v>0</v>
      </c>
      <c r="AM10" s="4">
        <v>7</v>
      </c>
      <c r="AN10" s="4">
        <v>10</v>
      </c>
      <c r="AO10" s="4"/>
      <c r="AP10" s="48"/>
      <c r="AQ10" s="34">
        <v>20</v>
      </c>
      <c r="AR10" s="47"/>
      <c r="AS10" s="32">
        <v>12</v>
      </c>
      <c r="AT10" s="4">
        <v>8</v>
      </c>
      <c r="AU10" s="4">
        <v>11</v>
      </c>
      <c r="AV10" s="4"/>
      <c r="AW10" s="5"/>
      <c r="AX10" s="32">
        <v>10</v>
      </c>
      <c r="AY10" s="4">
        <v>10</v>
      </c>
      <c r="AZ10" s="4">
        <v>10</v>
      </c>
      <c r="BA10" s="4">
        <v>10</v>
      </c>
      <c r="BB10" s="48"/>
      <c r="BC10" s="34">
        <v>25</v>
      </c>
    </row>
    <row r="11" spans="1:55" ht="20.25" customHeight="1" x14ac:dyDescent="0.35">
      <c r="A11" s="92">
        <v>6</v>
      </c>
      <c r="B11" s="132" t="s">
        <v>66</v>
      </c>
      <c r="C11" s="133"/>
      <c r="D11" s="133"/>
      <c r="E11" s="133"/>
      <c r="F11" s="133"/>
      <c r="G11" s="133"/>
      <c r="H11" s="134"/>
      <c r="I11" s="32">
        <v>5</v>
      </c>
      <c r="J11" s="4">
        <v>8</v>
      </c>
      <c r="K11" s="4">
        <v>7</v>
      </c>
      <c r="L11" s="4"/>
      <c r="M11" s="5"/>
      <c r="N11" s="32">
        <v>10</v>
      </c>
      <c r="O11" s="4">
        <v>7</v>
      </c>
      <c r="P11" s="4">
        <v>9</v>
      </c>
      <c r="Q11" s="4"/>
      <c r="R11" s="48"/>
      <c r="S11" s="34">
        <v>29</v>
      </c>
      <c r="U11" s="32">
        <v>4</v>
      </c>
      <c r="V11" s="4">
        <v>6</v>
      </c>
      <c r="W11" s="4">
        <v>10</v>
      </c>
      <c r="X11" s="4"/>
      <c r="Y11" s="5"/>
      <c r="Z11" s="32">
        <v>7</v>
      </c>
      <c r="AA11" s="4">
        <v>8</v>
      </c>
      <c r="AB11" s="4">
        <v>7</v>
      </c>
      <c r="AC11" s="4">
        <v>5</v>
      </c>
      <c r="AD11" s="48"/>
      <c r="AE11" s="34">
        <v>23</v>
      </c>
      <c r="AF11" s="46"/>
      <c r="AG11" s="32">
        <v>5</v>
      </c>
      <c r="AH11" s="4">
        <v>7</v>
      </c>
      <c r="AI11" s="4">
        <v>9</v>
      </c>
      <c r="AJ11" s="4"/>
      <c r="AK11" s="5"/>
      <c r="AL11" s="32">
        <v>8</v>
      </c>
      <c r="AM11" s="4">
        <v>4</v>
      </c>
      <c r="AN11" s="4">
        <v>3</v>
      </c>
      <c r="AO11" s="4"/>
      <c r="AP11" s="48"/>
      <c r="AQ11" s="34">
        <v>18</v>
      </c>
      <c r="AR11" s="47"/>
      <c r="AS11" s="32">
        <v>7</v>
      </c>
      <c r="AT11" s="4">
        <v>8</v>
      </c>
      <c r="AU11" s="4">
        <v>9</v>
      </c>
      <c r="AV11" s="4"/>
      <c r="AW11" s="5"/>
      <c r="AX11" s="32">
        <v>8</v>
      </c>
      <c r="AY11" s="4">
        <v>5</v>
      </c>
      <c r="AZ11" s="4">
        <v>7</v>
      </c>
      <c r="BA11" s="4">
        <v>10</v>
      </c>
      <c r="BB11" s="48"/>
      <c r="BC11" s="34">
        <v>22</v>
      </c>
    </row>
    <row r="12" spans="1:55" ht="20.25" customHeight="1" x14ac:dyDescent="0.35">
      <c r="A12" s="92">
        <v>7</v>
      </c>
      <c r="B12" s="132" t="s">
        <v>67</v>
      </c>
      <c r="C12" s="133"/>
      <c r="D12" s="133"/>
      <c r="E12" s="133"/>
      <c r="F12" s="133"/>
      <c r="G12" s="133"/>
      <c r="H12" s="134"/>
      <c r="I12" s="32">
        <v>19</v>
      </c>
      <c r="J12" s="4">
        <v>11</v>
      </c>
      <c r="K12" s="4">
        <v>10</v>
      </c>
      <c r="L12" s="4"/>
      <c r="M12" s="5"/>
      <c r="N12" s="32">
        <v>10</v>
      </c>
      <c r="O12" s="4">
        <v>10</v>
      </c>
      <c r="P12" s="4">
        <v>8</v>
      </c>
      <c r="Q12" s="4"/>
      <c r="R12" s="48"/>
      <c r="S12" s="34">
        <v>35</v>
      </c>
      <c r="U12" s="32">
        <v>8</v>
      </c>
      <c r="V12" s="4">
        <v>8</v>
      </c>
      <c r="W12" s="4">
        <v>10</v>
      </c>
      <c r="X12" s="4"/>
      <c r="Y12" s="5"/>
      <c r="Z12" s="32">
        <v>10</v>
      </c>
      <c r="AA12" s="4">
        <v>9</v>
      </c>
      <c r="AB12" s="4">
        <v>8</v>
      </c>
      <c r="AC12" s="4">
        <v>8</v>
      </c>
      <c r="AD12" s="48"/>
      <c r="AE12" s="34">
        <v>27</v>
      </c>
      <c r="AF12" s="46"/>
      <c r="AG12" s="32">
        <v>12</v>
      </c>
      <c r="AH12" s="4">
        <v>9</v>
      </c>
      <c r="AI12" s="4">
        <v>13</v>
      </c>
      <c r="AJ12" s="4"/>
      <c r="AK12" s="5"/>
      <c r="AL12" s="32">
        <v>9</v>
      </c>
      <c r="AM12" s="4">
        <v>7</v>
      </c>
      <c r="AN12" s="4">
        <v>6</v>
      </c>
      <c r="AO12" s="4"/>
      <c r="AP12" s="48"/>
      <c r="AQ12" s="34">
        <v>31</v>
      </c>
      <c r="AR12" s="47"/>
      <c r="AS12" s="32">
        <v>10</v>
      </c>
      <c r="AT12" s="4">
        <v>7</v>
      </c>
      <c r="AU12" s="4">
        <v>10</v>
      </c>
      <c r="AV12" s="4"/>
      <c r="AW12" s="5"/>
      <c r="AX12" s="32">
        <v>0</v>
      </c>
      <c r="AY12" s="4">
        <v>8</v>
      </c>
      <c r="AZ12" s="4">
        <v>8</v>
      </c>
      <c r="BA12" s="4">
        <v>10</v>
      </c>
      <c r="BB12" s="48"/>
      <c r="BC12" s="34">
        <v>30</v>
      </c>
    </row>
    <row r="13" spans="1:55" ht="20.25" customHeight="1" x14ac:dyDescent="0.35">
      <c r="A13" s="92">
        <v>8</v>
      </c>
      <c r="B13" s="132" t="s">
        <v>68</v>
      </c>
      <c r="C13" s="133"/>
      <c r="D13" s="133"/>
      <c r="E13" s="133"/>
      <c r="F13" s="133"/>
      <c r="G13" s="133"/>
      <c r="H13" s="134"/>
      <c r="I13" s="3">
        <v>20</v>
      </c>
      <c r="J13" s="4">
        <v>12</v>
      </c>
      <c r="K13" s="4">
        <v>10</v>
      </c>
      <c r="L13" s="4"/>
      <c r="M13" s="5"/>
      <c r="N13" s="32">
        <v>10</v>
      </c>
      <c r="O13" s="4">
        <v>10</v>
      </c>
      <c r="P13" s="4">
        <v>10</v>
      </c>
      <c r="Q13" s="4"/>
      <c r="R13" s="48"/>
      <c r="S13" s="33">
        <v>42</v>
      </c>
      <c r="U13" s="32">
        <v>7</v>
      </c>
      <c r="V13" s="4">
        <v>13</v>
      </c>
      <c r="W13" s="4">
        <v>10</v>
      </c>
      <c r="X13" s="4"/>
      <c r="Y13" s="5"/>
      <c r="Z13" s="32">
        <v>10</v>
      </c>
      <c r="AA13" s="4">
        <v>7</v>
      </c>
      <c r="AB13" s="4">
        <v>10</v>
      </c>
      <c r="AC13" s="4">
        <v>9</v>
      </c>
      <c r="AD13" s="48"/>
      <c r="AE13" s="34">
        <v>32</v>
      </c>
      <c r="AF13" s="46"/>
      <c r="AG13" s="32">
        <v>8</v>
      </c>
      <c r="AH13" s="4">
        <v>12</v>
      </c>
      <c r="AI13" s="4">
        <v>11</v>
      </c>
      <c r="AJ13" s="4"/>
      <c r="AK13" s="5"/>
      <c r="AL13" s="32">
        <v>9</v>
      </c>
      <c r="AM13" s="4">
        <v>9</v>
      </c>
      <c r="AN13" s="4">
        <v>10</v>
      </c>
      <c r="AO13" s="4"/>
      <c r="AP13" s="48"/>
      <c r="AQ13" s="34">
        <v>30</v>
      </c>
      <c r="AR13" s="47"/>
      <c r="AS13" s="32">
        <v>14</v>
      </c>
      <c r="AT13" s="4">
        <v>9</v>
      </c>
      <c r="AU13" s="4">
        <v>14</v>
      </c>
      <c r="AV13" s="4"/>
      <c r="AW13" s="5"/>
      <c r="AX13" s="32">
        <v>10</v>
      </c>
      <c r="AY13" s="4">
        <v>9</v>
      </c>
      <c r="AZ13" s="4">
        <v>10</v>
      </c>
      <c r="BA13" s="4">
        <v>10</v>
      </c>
      <c r="BB13" s="48"/>
      <c r="BC13" s="34">
        <v>33</v>
      </c>
    </row>
    <row r="14" spans="1:55" ht="20.25" customHeight="1" x14ac:dyDescent="0.35">
      <c r="A14" s="92">
        <v>9</v>
      </c>
      <c r="B14" s="132" t="s">
        <v>69</v>
      </c>
      <c r="C14" s="133"/>
      <c r="D14" s="133"/>
      <c r="E14" s="133"/>
      <c r="F14" s="133"/>
      <c r="G14" s="133"/>
      <c r="H14" s="134"/>
      <c r="I14" s="3">
        <v>10</v>
      </c>
      <c r="J14" s="4">
        <v>8</v>
      </c>
      <c r="K14" s="4">
        <v>7</v>
      </c>
      <c r="L14" s="4"/>
      <c r="M14" s="5"/>
      <c r="N14" s="32">
        <v>10</v>
      </c>
      <c r="O14" s="4">
        <v>7</v>
      </c>
      <c r="P14" s="4">
        <v>9</v>
      </c>
      <c r="Q14" s="4"/>
      <c r="R14" s="48"/>
      <c r="S14" s="33">
        <v>30</v>
      </c>
      <c r="U14" s="32">
        <v>6</v>
      </c>
      <c r="V14" s="4">
        <v>7</v>
      </c>
      <c r="W14" s="4">
        <v>10</v>
      </c>
      <c r="X14" s="4"/>
      <c r="Y14" s="5"/>
      <c r="Z14" s="32">
        <v>9</v>
      </c>
      <c r="AA14" s="4">
        <v>7</v>
      </c>
      <c r="AB14" s="4">
        <v>6</v>
      </c>
      <c r="AC14" s="4">
        <v>6</v>
      </c>
      <c r="AD14" s="48"/>
      <c r="AE14" s="34">
        <v>27</v>
      </c>
      <c r="AF14" s="46"/>
      <c r="AG14" s="32">
        <v>10</v>
      </c>
      <c r="AH14" s="4">
        <v>8</v>
      </c>
      <c r="AI14" s="4">
        <v>11</v>
      </c>
      <c r="AJ14" s="4"/>
      <c r="AK14" s="5"/>
      <c r="AL14" s="32">
        <v>8</v>
      </c>
      <c r="AM14" s="4">
        <v>8</v>
      </c>
      <c r="AN14" s="4">
        <v>4</v>
      </c>
      <c r="AO14" s="4"/>
      <c r="AP14" s="48"/>
      <c r="AQ14" s="34">
        <v>25</v>
      </c>
      <c r="AR14" s="47"/>
      <c r="AS14" s="32">
        <v>10</v>
      </c>
      <c r="AT14" s="4">
        <v>9</v>
      </c>
      <c r="AU14" s="4">
        <v>7</v>
      </c>
      <c r="AV14" s="4"/>
      <c r="AW14" s="5"/>
      <c r="AX14" s="32">
        <v>8</v>
      </c>
      <c r="AY14" s="4">
        <v>8</v>
      </c>
      <c r="AZ14" s="4">
        <v>8</v>
      </c>
      <c r="BA14" s="4">
        <v>10</v>
      </c>
      <c r="BB14" s="48"/>
      <c r="BC14" s="34">
        <v>21</v>
      </c>
    </row>
    <row r="15" spans="1:55" ht="20.25" customHeight="1" x14ac:dyDescent="0.35">
      <c r="A15" s="92">
        <v>10</v>
      </c>
      <c r="B15" s="132" t="s">
        <v>70</v>
      </c>
      <c r="C15" s="133"/>
      <c r="D15" s="133"/>
      <c r="E15" s="133"/>
      <c r="F15" s="133"/>
      <c r="G15" s="133"/>
      <c r="H15" s="134"/>
      <c r="I15" s="3">
        <v>5</v>
      </c>
      <c r="J15" s="4">
        <v>5</v>
      </c>
      <c r="K15" s="4">
        <v>6</v>
      </c>
      <c r="L15" s="4"/>
      <c r="M15" s="5"/>
      <c r="N15" s="32">
        <v>10</v>
      </c>
      <c r="O15" s="4">
        <v>0</v>
      </c>
      <c r="P15" s="4">
        <v>8</v>
      </c>
      <c r="Q15" s="4"/>
      <c r="R15" s="48"/>
      <c r="S15" s="33">
        <v>15</v>
      </c>
      <c r="U15" s="32">
        <v>3</v>
      </c>
      <c r="V15" s="4">
        <v>2</v>
      </c>
      <c r="W15" s="4">
        <v>10</v>
      </c>
      <c r="X15" s="4"/>
      <c r="Y15" s="5"/>
      <c r="Z15" s="32">
        <v>4</v>
      </c>
      <c r="AA15" s="4">
        <v>7</v>
      </c>
      <c r="AB15" s="4">
        <v>5</v>
      </c>
      <c r="AC15" s="4">
        <v>5</v>
      </c>
      <c r="AD15" s="48"/>
      <c r="AE15" s="34">
        <v>18</v>
      </c>
      <c r="AF15" s="46"/>
      <c r="AG15" s="32">
        <v>6</v>
      </c>
      <c r="AH15" s="4">
        <v>3</v>
      </c>
      <c r="AI15" s="4">
        <v>7</v>
      </c>
      <c r="AJ15" s="4"/>
      <c r="AK15" s="5"/>
      <c r="AL15" s="32">
        <v>5</v>
      </c>
      <c r="AM15" s="4">
        <v>5</v>
      </c>
      <c r="AN15" s="4">
        <v>5</v>
      </c>
      <c r="AO15" s="4"/>
      <c r="AP15" s="48"/>
      <c r="AQ15" s="34">
        <v>22</v>
      </c>
      <c r="AR15" s="47"/>
      <c r="AS15" s="32">
        <v>10</v>
      </c>
      <c r="AT15" s="4">
        <v>8</v>
      </c>
      <c r="AU15" s="4">
        <v>9</v>
      </c>
      <c r="AV15" s="4"/>
      <c r="AW15" s="5"/>
      <c r="AX15" s="32">
        <v>8</v>
      </c>
      <c r="AY15" s="4">
        <v>8</v>
      </c>
      <c r="AZ15" s="4">
        <v>7</v>
      </c>
      <c r="BA15" s="4">
        <v>9</v>
      </c>
      <c r="BB15" s="48"/>
      <c r="BC15" s="34">
        <v>21</v>
      </c>
    </row>
    <row r="16" spans="1:55" s="18" customFormat="1" ht="20.25" customHeight="1" thickBot="1" x14ac:dyDescent="0.4">
      <c r="A16" s="93"/>
      <c r="B16" s="135"/>
      <c r="C16" s="136"/>
      <c r="D16" s="136"/>
      <c r="E16" s="136"/>
      <c r="F16" s="136"/>
      <c r="G16" s="136"/>
      <c r="H16" s="137"/>
      <c r="I16" s="35"/>
      <c r="J16" s="36"/>
      <c r="K16" s="36"/>
      <c r="L16" s="36"/>
      <c r="M16" s="37"/>
      <c r="N16" s="38"/>
      <c r="O16" s="36"/>
      <c r="P16" s="36"/>
      <c r="Q16" s="36"/>
      <c r="R16" s="39"/>
      <c r="S16" s="40"/>
      <c r="T16" s="11"/>
      <c r="U16" s="38"/>
      <c r="V16" s="36"/>
      <c r="W16" s="36"/>
      <c r="X16" s="36"/>
      <c r="Y16" s="37"/>
      <c r="Z16" s="38"/>
      <c r="AA16" s="36"/>
      <c r="AB16" s="36"/>
      <c r="AC16" s="36"/>
      <c r="AD16" s="49"/>
      <c r="AE16" s="42"/>
      <c r="AF16" s="53"/>
      <c r="AG16" s="38"/>
      <c r="AH16" s="36"/>
      <c r="AI16" s="36"/>
      <c r="AJ16" s="36"/>
      <c r="AK16" s="37"/>
      <c r="AL16" s="38"/>
      <c r="AM16" s="36"/>
      <c r="AN16" s="36"/>
      <c r="AO16" s="36"/>
      <c r="AP16" s="49"/>
      <c r="AQ16" s="42"/>
      <c r="AR16" s="54"/>
      <c r="AS16" s="38"/>
      <c r="AT16" s="36"/>
      <c r="AU16" s="36"/>
      <c r="AV16" s="36"/>
      <c r="AW16" s="37"/>
      <c r="AX16" s="38"/>
      <c r="AY16" s="36"/>
      <c r="AZ16" s="36"/>
      <c r="BA16" s="36"/>
      <c r="BB16" s="49"/>
      <c r="BC16" s="42"/>
    </row>
  </sheetData>
  <sheetProtection selectLockedCells="1"/>
  <mergeCells count="29">
    <mergeCell ref="U1:AE1"/>
    <mergeCell ref="U2:Y2"/>
    <mergeCell ref="Z2:AD2"/>
    <mergeCell ref="I2:M2"/>
    <mergeCell ref="N2:R2"/>
    <mergeCell ref="I1:S1"/>
    <mergeCell ref="AS1:BC1"/>
    <mergeCell ref="AS2:AW2"/>
    <mergeCell ref="AX2:BB2"/>
    <mergeCell ref="AG1:AQ1"/>
    <mergeCell ref="AG2:AK2"/>
    <mergeCell ref="AL2:AP2"/>
    <mergeCell ref="A1:H1"/>
    <mergeCell ref="B6:H6"/>
    <mergeCell ref="B7:H7"/>
    <mergeCell ref="B8:H8"/>
    <mergeCell ref="B2:H2"/>
    <mergeCell ref="B5:H5"/>
    <mergeCell ref="A2:A4"/>
    <mergeCell ref="B14:H14"/>
    <mergeCell ref="B15:H15"/>
    <mergeCell ref="B16:H16"/>
    <mergeCell ref="B3:H3"/>
    <mergeCell ref="B4:H4"/>
    <mergeCell ref="B9:H9"/>
    <mergeCell ref="B10:H10"/>
    <mergeCell ref="B11:H11"/>
    <mergeCell ref="B12:H12"/>
    <mergeCell ref="B13:H13"/>
  </mergeCells>
  <conditionalFormatting sqref="U6:AE7 AS6:BC7 AG6:AQ9 I6:S9 U8:V9 X8:AE9 W8:W15 AS8:AZ9 BB8:BC9 BA8:BA14">
    <cfRule type="containsBlanks" dxfId="37" priority="13">
      <formula>LEN(TRIM(I6))=0</formula>
    </cfRule>
  </conditionalFormatting>
  <conditionalFormatting sqref="I10:S15 AG10:AQ15 AS15:BC15 U10:V15 X10:AE15 AS10:AZ14 BB10:BC14">
    <cfRule type="containsBlanks" dxfId="36" priority="2">
      <formula>LEN(TRIM(I10))=0</formula>
    </cfRule>
  </conditionalFormatting>
  <pageMargins left="0.2" right="0.2" top="1" bottom="0.25" header="0.3" footer="0.3"/>
  <pageSetup paperSize="5" scale="75" orientation="landscape" horizontalDpi="4294967294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39997558519241921"/>
  </sheetPr>
  <dimension ref="A1:AB38"/>
  <sheetViews>
    <sheetView topLeftCell="A4" zoomScaleNormal="100" workbookViewId="0">
      <selection activeCell="H25" sqref="H25"/>
    </sheetView>
  </sheetViews>
  <sheetFormatPr defaultColWidth="9.140625" defaultRowHeight="16.5" x14ac:dyDescent="0.25"/>
  <cols>
    <col min="1" max="1" width="3.5703125" style="82" customWidth="1"/>
    <col min="2" max="2" width="28" style="9" customWidth="1"/>
    <col min="3" max="3" width="5.140625" style="9" customWidth="1"/>
    <col min="4" max="4" width="4.5703125" style="9" customWidth="1"/>
    <col min="5" max="7" width="5.140625" style="9" customWidth="1"/>
    <col min="8" max="8" width="3.85546875" style="9" customWidth="1"/>
    <col min="9" max="9" width="4" style="9" customWidth="1"/>
    <col min="10" max="10" width="4.28515625" style="9" customWidth="1"/>
    <col min="11" max="11" width="3.85546875" style="9" customWidth="1"/>
    <col min="12" max="12" width="3.7109375" style="9" customWidth="1"/>
    <col min="13" max="13" width="5.28515625" style="9" customWidth="1"/>
    <col min="14" max="18" width="4.7109375" style="9" customWidth="1"/>
    <col min="19" max="19" width="4.28515625" style="9" customWidth="1"/>
    <col min="20" max="20" width="4.7109375" style="9" customWidth="1"/>
    <col min="21" max="23" width="4.5703125" style="9" customWidth="1"/>
    <col min="24" max="24" width="4.28515625" style="9" customWidth="1"/>
    <col min="25" max="26" width="5.28515625" style="9" customWidth="1"/>
    <col min="27" max="27" width="7.5703125" style="9" customWidth="1"/>
    <col min="28" max="28" width="7.85546875" style="82" customWidth="1"/>
    <col min="29" max="16384" width="9.140625" style="9"/>
  </cols>
  <sheetData>
    <row r="1" spans="1:28" ht="18.75" x14ac:dyDescent="0.25">
      <c r="A1" s="204" t="s">
        <v>0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  <c r="AA1" s="204"/>
      <c r="AB1" s="204"/>
    </row>
    <row r="2" spans="1:28" x14ac:dyDescent="0.25">
      <c r="A2" s="205" t="s">
        <v>60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</row>
    <row r="3" spans="1:28" ht="18.75" x14ac:dyDescent="0.25">
      <c r="A3" s="206" t="s">
        <v>1</v>
      </c>
      <c r="B3" s="206"/>
      <c r="C3" s="206"/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</row>
    <row r="4" spans="1:28" x14ac:dyDescent="0.25">
      <c r="A4" s="203"/>
      <c r="B4" s="203"/>
      <c r="C4" s="203"/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203"/>
    </row>
    <row r="5" spans="1:28" x14ac:dyDescent="0.25">
      <c r="B5" s="70" t="s">
        <v>2</v>
      </c>
      <c r="C5" s="200" t="str">
        <f>IF(Subject_Info!B1="","",Subject_Info!B1)</f>
        <v/>
      </c>
      <c r="D5" s="200"/>
      <c r="E5" s="200"/>
      <c r="F5" s="200"/>
      <c r="G5" s="200"/>
      <c r="H5" s="200"/>
      <c r="I5" s="201" t="s">
        <v>3</v>
      </c>
      <c r="J5" s="201"/>
      <c r="K5" s="201"/>
      <c r="L5" s="201"/>
      <c r="M5" s="202" t="str">
        <f>IF(UPPER(Subject_Info!B4)="","",UPPER(Subject_Info!B4))</f>
        <v/>
      </c>
      <c r="N5" s="202"/>
      <c r="O5" s="202"/>
      <c r="P5" s="202"/>
      <c r="Q5" s="202"/>
      <c r="R5" s="205" t="s">
        <v>4</v>
      </c>
      <c r="S5" s="205"/>
      <c r="T5" s="207" t="s">
        <v>5</v>
      </c>
      <c r="U5" s="207"/>
      <c r="V5" s="207"/>
      <c r="W5" s="207"/>
      <c r="X5" s="70" t="s">
        <v>6</v>
      </c>
      <c r="AB5" s="82">
        <f>COUNTIF(AB12:AB37,"Passed")</f>
        <v>9</v>
      </c>
    </row>
    <row r="6" spans="1:28" x14ac:dyDescent="0.25">
      <c r="B6" s="70" t="s">
        <v>7</v>
      </c>
      <c r="C6" s="200" t="str">
        <f>IF(Subject_Info!B2="","",Subject_Info!B2)</f>
        <v/>
      </c>
      <c r="D6" s="200"/>
      <c r="E6" s="200"/>
      <c r="F6" s="200"/>
      <c r="G6" s="200"/>
      <c r="H6" s="200"/>
      <c r="I6" s="201" t="s">
        <v>8</v>
      </c>
      <c r="J6" s="201"/>
      <c r="K6" s="201"/>
      <c r="L6" s="201"/>
      <c r="M6" s="202" t="str">
        <f>IF(Subject_Info!B5="","",Subject_Info!B5)</f>
        <v/>
      </c>
      <c r="N6" s="202"/>
      <c r="O6" s="202"/>
      <c r="P6" s="202"/>
      <c r="Q6" s="202"/>
      <c r="R6" s="203"/>
      <c r="S6" s="203"/>
      <c r="T6" s="203"/>
      <c r="U6" s="203"/>
      <c r="V6" s="203"/>
      <c r="W6" s="203"/>
      <c r="X6" s="70" t="s">
        <v>9</v>
      </c>
      <c r="AB6" s="88">
        <f>COUNTIF(AB12:AB37,"Failed")</f>
        <v>1</v>
      </c>
    </row>
    <row r="7" spans="1:28" x14ac:dyDescent="0.25">
      <c r="B7" s="70" t="s">
        <v>10</v>
      </c>
      <c r="C7" s="200" t="str">
        <f>IF(Subject_Info!B3="","",Subject_Info!B3)</f>
        <v/>
      </c>
      <c r="D7" s="200"/>
      <c r="E7" s="200"/>
      <c r="F7" s="200"/>
      <c r="G7" s="200"/>
      <c r="H7" s="200"/>
      <c r="I7" s="201" t="s">
        <v>11</v>
      </c>
      <c r="J7" s="201"/>
      <c r="K7" s="201"/>
      <c r="L7" s="201"/>
      <c r="M7" s="202" t="str">
        <f>IF(Subject_Info!B6="","",Subject_Info!B6)</f>
        <v/>
      </c>
      <c r="N7" s="202"/>
      <c r="O7" s="202"/>
      <c r="P7" s="202"/>
      <c r="Q7" s="202"/>
      <c r="R7" s="203"/>
      <c r="S7" s="203"/>
      <c r="T7" s="203"/>
      <c r="U7" s="203"/>
      <c r="V7" s="203"/>
      <c r="W7" s="203"/>
      <c r="X7" s="70" t="s">
        <v>12</v>
      </c>
      <c r="AB7" s="89">
        <f>COUNTIF(AB12:AB37,"Dropped")</f>
        <v>0</v>
      </c>
    </row>
    <row r="8" spans="1:28" ht="17.25" thickBot="1" x14ac:dyDescent="0.3">
      <c r="A8" s="172" t="s">
        <v>13</v>
      </c>
      <c r="B8" s="172"/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2"/>
      <c r="AB8" s="172"/>
    </row>
    <row r="9" spans="1:28" s="77" customFormat="1" ht="15" x14ac:dyDescent="0.25">
      <c r="A9" s="187" t="s">
        <v>14</v>
      </c>
      <c r="B9" s="76" t="s">
        <v>15</v>
      </c>
      <c r="C9" s="190" t="s">
        <v>16</v>
      </c>
      <c r="D9" s="191"/>
      <c r="E9" s="191"/>
      <c r="F9" s="191"/>
      <c r="G9" s="191"/>
      <c r="H9" s="192" t="s">
        <v>17</v>
      </c>
      <c r="I9" s="193"/>
      <c r="J9" s="193"/>
      <c r="K9" s="193"/>
      <c r="L9" s="193"/>
      <c r="M9" s="194"/>
      <c r="N9" s="195" t="s">
        <v>18</v>
      </c>
      <c r="O9" s="196"/>
      <c r="P9" s="196"/>
      <c r="Q9" s="196"/>
      <c r="R9" s="197"/>
      <c r="S9" s="198" t="s">
        <v>17</v>
      </c>
      <c r="T9" s="198"/>
      <c r="U9" s="198"/>
      <c r="V9" s="198"/>
      <c r="W9" s="198"/>
      <c r="X9" s="199"/>
      <c r="Y9" s="186" t="s">
        <v>19</v>
      </c>
      <c r="Z9" s="186"/>
      <c r="AA9" s="176" t="s">
        <v>20</v>
      </c>
      <c r="AB9" s="179" t="s">
        <v>21</v>
      </c>
    </row>
    <row r="10" spans="1:28" x14ac:dyDescent="0.35">
      <c r="A10" s="188"/>
      <c r="B10" s="56" t="s">
        <v>22</v>
      </c>
      <c r="C10" s="57" t="str">
        <f>IF(Record!I3="","",Record!I3)</f>
        <v/>
      </c>
      <c r="D10" s="58" t="str">
        <f>IF(Record!J3="","",Record!J3)</f>
        <v/>
      </c>
      <c r="E10" s="59" t="str">
        <f>IF(Record!K3="","",Record!K3)</f>
        <v/>
      </c>
      <c r="F10" s="58" t="str">
        <f>IF(Record!L3="","",Record!L3)</f>
        <v/>
      </c>
      <c r="G10" s="60" t="str">
        <f>IF(Record!M3="","",Record!M3)</f>
        <v/>
      </c>
      <c r="H10" s="182" t="s">
        <v>23</v>
      </c>
      <c r="I10" s="182" t="s">
        <v>24</v>
      </c>
      <c r="J10" s="182" t="s">
        <v>25</v>
      </c>
      <c r="K10" s="182" t="s">
        <v>26</v>
      </c>
      <c r="L10" s="182" t="s">
        <v>27</v>
      </c>
      <c r="M10" s="173" t="s">
        <v>28</v>
      </c>
      <c r="N10" s="60" t="str">
        <f>IF(Record!N3="","",Record!N3)</f>
        <v/>
      </c>
      <c r="O10" s="61" t="str">
        <f>IF(Record!O3="","",Record!O3)</f>
        <v/>
      </c>
      <c r="P10" s="61" t="str">
        <f>IF(Record!P3="","",Record!P3)</f>
        <v/>
      </c>
      <c r="Q10" s="61" t="str">
        <f>IF(Record!Q3="","",Record!Q3)</f>
        <v/>
      </c>
      <c r="R10" s="62" t="str">
        <f>IF(Record!R3="","",Record!R3)</f>
        <v/>
      </c>
      <c r="S10" s="184" t="s">
        <v>29</v>
      </c>
      <c r="T10" s="184" t="s">
        <v>30</v>
      </c>
      <c r="U10" s="184" t="s">
        <v>31</v>
      </c>
      <c r="V10" s="184" t="s">
        <v>32</v>
      </c>
      <c r="W10" s="184" t="s">
        <v>33</v>
      </c>
      <c r="X10" s="173" t="s">
        <v>28</v>
      </c>
      <c r="Y10" s="175" t="str">
        <f>IF(Record!S3="","",Record!S3)</f>
        <v/>
      </c>
      <c r="Z10" s="175" t="str">
        <f>IF(Record!Z3="","",Record!Z3)</f>
        <v/>
      </c>
      <c r="AA10" s="177"/>
      <c r="AB10" s="180"/>
    </row>
    <row r="11" spans="1:28" s="81" customFormat="1" ht="15.75" thickBot="1" x14ac:dyDescent="0.4">
      <c r="A11" s="189"/>
      <c r="B11" s="111" t="s">
        <v>59</v>
      </c>
      <c r="C11" s="112">
        <f>IF(Record!I4="","",Record!I4)</f>
        <v>20</v>
      </c>
      <c r="D11" s="63">
        <f>IF(Record!J4="","",Record!J4)</f>
        <v>15</v>
      </c>
      <c r="E11" s="113">
        <f>IF(Record!K4="","",Record!K4)</f>
        <v>10</v>
      </c>
      <c r="F11" s="63" t="str">
        <f>IF(Record!L4="","",Record!L4)</f>
        <v/>
      </c>
      <c r="G11" s="114" t="str">
        <f>IF(Record!M4="","",Record!M4)</f>
        <v/>
      </c>
      <c r="H11" s="183"/>
      <c r="I11" s="183"/>
      <c r="J11" s="183"/>
      <c r="K11" s="183"/>
      <c r="L11" s="183"/>
      <c r="M11" s="174"/>
      <c r="N11" s="114">
        <f>IF(Record!N4="","",Record!N4)</f>
        <v>10</v>
      </c>
      <c r="O11" s="63">
        <f>IF(Record!O4="","",Record!O4)</f>
        <v>10</v>
      </c>
      <c r="P11" s="63">
        <f>IF(Record!P4="","",Record!P4)</f>
        <v>10</v>
      </c>
      <c r="Q11" s="63" t="str">
        <f>IF(Record!Q4="","",Record!Q4)</f>
        <v/>
      </c>
      <c r="R11" s="115" t="str">
        <f>IF(Record!R4="","",Record!R4)</f>
        <v/>
      </c>
      <c r="S11" s="185"/>
      <c r="T11" s="185"/>
      <c r="U11" s="185"/>
      <c r="V11" s="185"/>
      <c r="W11" s="185"/>
      <c r="X11" s="174"/>
      <c r="Y11" s="114">
        <f>IF(Record!S4="","",Record!S4)</f>
        <v>50</v>
      </c>
      <c r="Z11" s="115" t="s">
        <v>34</v>
      </c>
      <c r="AA11" s="178"/>
      <c r="AB11" s="181"/>
    </row>
    <row r="12" spans="1:28" ht="16.5" customHeight="1" x14ac:dyDescent="0.25">
      <c r="A12" s="102" t="str">
        <f>IF(Record!A5="","",Record!A5)</f>
        <v/>
      </c>
      <c r="B12" s="117" t="str">
        <f>IF(UPPER(Record!B5)="","",UPPER(Record!B5))</f>
        <v/>
      </c>
      <c r="C12" s="103" t="str">
        <f>IF(Record!I5="","",Record!I5)</f>
        <v/>
      </c>
      <c r="D12" s="104" t="str">
        <f>IF(Record!J5="","",Record!J5)</f>
        <v/>
      </c>
      <c r="E12" s="104" t="str">
        <f>IF(Record!K5="","",Record!K5)</f>
        <v/>
      </c>
      <c r="F12" s="104" t="str">
        <f>IF(Record!L5="","",Record!L5)</f>
        <v/>
      </c>
      <c r="G12" s="105" t="str">
        <f>IF(Record!M5="","",Record!M5)</f>
        <v/>
      </c>
      <c r="H12" s="106" t="str">
        <f t="shared" ref="H12:H16" si="0">IF(C12="","",(C12/$C$11)*50+50)</f>
        <v/>
      </c>
      <c r="I12" s="106" t="str">
        <f t="shared" ref="I12:I16" si="1">IF(D12="","",(D12/$D$11)*50+50)</f>
        <v/>
      </c>
      <c r="J12" s="106" t="str">
        <f t="shared" ref="J12:J16" si="2">IF(E12="","",(E12/$E$11)*50+50)</f>
        <v/>
      </c>
      <c r="K12" s="106" t="str">
        <f t="shared" ref="K12:K16" si="3">IF(F12="","",(F12/$F$11)*50+50)</f>
        <v/>
      </c>
      <c r="L12" s="106" t="str">
        <f t="shared" ref="L12:L16" si="4">IF(G12="","",(G12/$G$11)*50+50)</f>
        <v/>
      </c>
      <c r="M12" s="107" t="str">
        <f t="shared" ref="M12:M16" si="5">IFERROR(AVERAGE(H12:L12),"")</f>
        <v/>
      </c>
      <c r="N12" s="103" t="str">
        <f>IF(Record!N5="","",Record!N5)</f>
        <v/>
      </c>
      <c r="O12" s="104" t="str">
        <f>IF(Record!O5="","",Record!O5)</f>
        <v/>
      </c>
      <c r="P12" s="104" t="str">
        <f>IF(Record!P5="","",Record!P5)</f>
        <v/>
      </c>
      <c r="Q12" s="104" t="str">
        <f>IF(Record!Q5="","",Record!Q5)</f>
        <v/>
      </c>
      <c r="R12" s="104" t="str">
        <f>IF(Record!R5="","",Record!R5)</f>
        <v/>
      </c>
      <c r="S12" s="106" t="str">
        <f t="shared" ref="S12:S16" si="6">IF(N12="","",(N12/$N$11)*50+50)</f>
        <v/>
      </c>
      <c r="T12" s="106" t="str">
        <f t="shared" ref="T12:T16" si="7">IF(O12="","",(O12/$O$11)*50+50)</f>
        <v/>
      </c>
      <c r="U12" s="106" t="str">
        <f t="shared" ref="U12:U16" si="8">IF(P12="","",(P12/$P$11)*50+50)</f>
        <v/>
      </c>
      <c r="V12" s="106" t="str">
        <f t="shared" ref="V12:V16" si="9">IF(Q12="","",(Q12/$Q$11)*50+50)</f>
        <v/>
      </c>
      <c r="W12" s="106" t="str">
        <f t="shared" ref="W12:W16" si="10">IF(R12="","",(R12/$R$11)*50+50)</f>
        <v/>
      </c>
      <c r="X12" s="107" t="str">
        <f t="shared" ref="X12:X16" si="11">IFERROR(AVERAGE(S12:W12),"")</f>
        <v/>
      </c>
      <c r="Y12" s="103" t="str">
        <f>IF(Record!S5="","",Record!S5)</f>
        <v/>
      </c>
      <c r="Z12" s="107" t="str">
        <f t="shared" ref="Z12:Z16" si="12">IF(Y12="","",(Y12/$Y$11)*50+50)</f>
        <v/>
      </c>
      <c r="AA12" s="101" t="str">
        <f t="shared" ref="AA12:AA16" si="13">IFERROR((M12*0.4+X12*0.2+Z12*0.4),"")</f>
        <v/>
      </c>
      <c r="AB12" s="108" t="str">
        <f t="shared" ref="AB12:AB16" si="14">IF(AA12="","", IF(AA12="-","Dropped",IF(AA12&gt;=74.5,"Passed","Failed")))</f>
        <v/>
      </c>
    </row>
    <row r="13" spans="1:28" ht="16.5" customHeight="1" x14ac:dyDescent="0.25">
      <c r="A13" s="64">
        <f>IF(Record!A6="","",Record!A6)</f>
        <v>1</v>
      </c>
      <c r="B13" s="65" t="str">
        <f>IF(UPPER(Record!B6)="","",UPPER(Record!B6))</f>
        <v>STUDENT_1</v>
      </c>
      <c r="C13" s="66">
        <f>IF(Record!I6="","",Record!I6)</f>
        <v>5</v>
      </c>
      <c r="D13" s="67">
        <f>IF(Record!J6="","",Record!J6)</f>
        <v>10</v>
      </c>
      <c r="E13" s="67">
        <f>IF(Record!K6="","",Record!K6)</f>
        <v>9</v>
      </c>
      <c r="F13" s="67" t="str">
        <f>IF(Record!L6="","",Record!L6)</f>
        <v/>
      </c>
      <c r="G13" s="68" t="str">
        <f>IF(Record!M6="","",Record!M6)</f>
        <v/>
      </c>
      <c r="H13" s="6">
        <f t="shared" si="0"/>
        <v>62.5</v>
      </c>
      <c r="I13" s="6">
        <f t="shared" si="1"/>
        <v>83.333333333333329</v>
      </c>
      <c r="J13" s="6">
        <f t="shared" si="2"/>
        <v>95</v>
      </c>
      <c r="K13" s="6" t="str">
        <f t="shared" si="3"/>
        <v/>
      </c>
      <c r="L13" s="6" t="str">
        <f t="shared" si="4"/>
        <v/>
      </c>
      <c r="M13" s="7">
        <f t="shared" si="5"/>
        <v>80.277777777777771</v>
      </c>
      <c r="N13" s="66">
        <f>IF(Record!N6="","",Record!N6)</f>
        <v>10</v>
      </c>
      <c r="O13" s="67">
        <f>IF(Record!O6="","",Record!O6)</f>
        <v>10</v>
      </c>
      <c r="P13" s="67">
        <f>IF(Record!P6="","",Record!P6)</f>
        <v>10</v>
      </c>
      <c r="Q13" s="67" t="str">
        <f>IF(Record!Q6="","",Record!Q6)</f>
        <v/>
      </c>
      <c r="R13" s="67" t="str">
        <f>IF(Record!R6="","",Record!R6)</f>
        <v/>
      </c>
      <c r="S13" s="6">
        <f t="shared" si="6"/>
        <v>100</v>
      </c>
      <c r="T13" s="6">
        <f t="shared" si="7"/>
        <v>100</v>
      </c>
      <c r="U13" s="6">
        <f t="shared" si="8"/>
        <v>100</v>
      </c>
      <c r="V13" s="6" t="str">
        <f t="shared" si="9"/>
        <v/>
      </c>
      <c r="W13" s="6" t="str">
        <f t="shared" si="10"/>
        <v/>
      </c>
      <c r="X13" s="7">
        <f t="shared" si="11"/>
        <v>100</v>
      </c>
      <c r="Y13" s="66">
        <f>IF(Record!S6="","",Record!S6)</f>
        <v>38</v>
      </c>
      <c r="Z13" s="7">
        <f t="shared" si="12"/>
        <v>88</v>
      </c>
      <c r="AA13" s="55">
        <f t="shared" si="13"/>
        <v>87.311111111111103</v>
      </c>
      <c r="AB13" s="8" t="str">
        <f t="shared" si="14"/>
        <v>Passed</v>
      </c>
    </row>
    <row r="14" spans="1:28" ht="16.5" customHeight="1" x14ac:dyDescent="0.25">
      <c r="A14" s="64">
        <f>IF(Record!A7="","",Record!A7)</f>
        <v>2</v>
      </c>
      <c r="B14" s="65" t="str">
        <f>IF(UPPER(Record!B7)="","",UPPER(Record!B7))</f>
        <v>STUDENT_2</v>
      </c>
      <c r="C14" s="66">
        <f>IF(Record!I7="","",Record!I7)</f>
        <v>20</v>
      </c>
      <c r="D14" s="67">
        <f>IF(Record!J7="","",Record!J7)</f>
        <v>15</v>
      </c>
      <c r="E14" s="67">
        <f>IF(Record!K7="","",Record!K7)</f>
        <v>7</v>
      </c>
      <c r="F14" s="67" t="str">
        <f>IF(Record!L7="","",Record!L7)</f>
        <v/>
      </c>
      <c r="G14" s="68" t="str">
        <f>IF(Record!M7="","",Record!M7)</f>
        <v/>
      </c>
      <c r="H14" s="6">
        <f t="shared" si="0"/>
        <v>100</v>
      </c>
      <c r="I14" s="6">
        <f t="shared" si="1"/>
        <v>100</v>
      </c>
      <c r="J14" s="6">
        <f t="shared" si="2"/>
        <v>85</v>
      </c>
      <c r="K14" s="6" t="str">
        <f t="shared" si="3"/>
        <v/>
      </c>
      <c r="L14" s="6" t="str">
        <f t="shared" si="4"/>
        <v/>
      </c>
      <c r="M14" s="7">
        <f t="shared" si="5"/>
        <v>95</v>
      </c>
      <c r="N14" s="66">
        <f>IF(Record!N7="","",Record!N7)</f>
        <v>10</v>
      </c>
      <c r="O14" s="67">
        <f>IF(Record!O7="","",Record!O7)</f>
        <v>10</v>
      </c>
      <c r="P14" s="67">
        <f>IF(Record!P7="","",Record!P7)</f>
        <v>6</v>
      </c>
      <c r="Q14" s="67" t="str">
        <f>IF(Record!Q7="","",Record!Q7)</f>
        <v/>
      </c>
      <c r="R14" s="67" t="str">
        <f>IF(Record!R7="","",Record!R7)</f>
        <v/>
      </c>
      <c r="S14" s="6">
        <f t="shared" si="6"/>
        <v>100</v>
      </c>
      <c r="T14" s="6">
        <f t="shared" si="7"/>
        <v>100</v>
      </c>
      <c r="U14" s="6">
        <f t="shared" si="8"/>
        <v>80</v>
      </c>
      <c r="V14" s="6" t="str">
        <f t="shared" si="9"/>
        <v/>
      </c>
      <c r="W14" s="6" t="str">
        <f t="shared" si="10"/>
        <v/>
      </c>
      <c r="X14" s="7">
        <f t="shared" si="11"/>
        <v>93.333333333333329</v>
      </c>
      <c r="Y14" s="66">
        <f>IF(Record!S7="","",Record!S7)</f>
        <v>37</v>
      </c>
      <c r="Z14" s="7">
        <f t="shared" si="12"/>
        <v>87</v>
      </c>
      <c r="AA14" s="55">
        <f t="shared" si="13"/>
        <v>91.466666666666669</v>
      </c>
      <c r="AB14" s="8" t="str">
        <f t="shared" si="14"/>
        <v>Passed</v>
      </c>
    </row>
    <row r="15" spans="1:28" ht="16.5" customHeight="1" x14ac:dyDescent="0.25">
      <c r="A15" s="64">
        <f>IF(Record!A8="","",Record!A8)</f>
        <v>3</v>
      </c>
      <c r="B15" s="65" t="str">
        <f>IF(UPPER(Record!B8)="","",UPPER(Record!B8))</f>
        <v>STUDENT_3</v>
      </c>
      <c r="C15" s="66">
        <f>IF(Record!I8="","",Record!I8)</f>
        <v>5</v>
      </c>
      <c r="D15" s="67">
        <f>IF(Record!J8="","",Record!J8)</f>
        <v>11</v>
      </c>
      <c r="E15" s="67">
        <f>IF(Record!K8="","",Record!K8)</f>
        <v>8</v>
      </c>
      <c r="F15" s="67" t="str">
        <f>IF(Record!L8="","",Record!L8)</f>
        <v/>
      </c>
      <c r="G15" s="68" t="str">
        <f>IF(Record!M8="","",Record!M8)</f>
        <v/>
      </c>
      <c r="H15" s="6">
        <f t="shared" si="0"/>
        <v>62.5</v>
      </c>
      <c r="I15" s="6">
        <f t="shared" si="1"/>
        <v>86.666666666666657</v>
      </c>
      <c r="J15" s="6">
        <f t="shared" si="2"/>
        <v>90</v>
      </c>
      <c r="K15" s="6" t="str">
        <f t="shared" si="3"/>
        <v/>
      </c>
      <c r="L15" s="6" t="str">
        <f t="shared" si="4"/>
        <v/>
      </c>
      <c r="M15" s="7">
        <f t="shared" si="5"/>
        <v>79.722222222222214</v>
      </c>
      <c r="N15" s="66">
        <f>IF(Record!N8="","",Record!N8)</f>
        <v>10</v>
      </c>
      <c r="O15" s="67">
        <f>IF(Record!O8="","",Record!O8)</f>
        <v>10</v>
      </c>
      <c r="P15" s="67">
        <f>IF(Record!P8="","",Record!P8)</f>
        <v>10</v>
      </c>
      <c r="Q15" s="67" t="str">
        <f>IF(Record!Q8="","",Record!Q8)</f>
        <v/>
      </c>
      <c r="R15" s="67" t="str">
        <f>IF(Record!R8="","",Record!R8)</f>
        <v/>
      </c>
      <c r="S15" s="6">
        <f t="shared" si="6"/>
        <v>100</v>
      </c>
      <c r="T15" s="6">
        <f t="shared" si="7"/>
        <v>100</v>
      </c>
      <c r="U15" s="6">
        <f t="shared" si="8"/>
        <v>100</v>
      </c>
      <c r="V15" s="6" t="str">
        <f t="shared" si="9"/>
        <v/>
      </c>
      <c r="W15" s="6" t="str">
        <f t="shared" si="10"/>
        <v/>
      </c>
      <c r="X15" s="7">
        <f t="shared" si="11"/>
        <v>100</v>
      </c>
      <c r="Y15" s="66">
        <f>IF(Record!S8="","",Record!S8)</f>
        <v>31</v>
      </c>
      <c r="Z15" s="7">
        <f t="shared" si="12"/>
        <v>81</v>
      </c>
      <c r="AA15" s="55">
        <f t="shared" si="13"/>
        <v>84.288888888888891</v>
      </c>
      <c r="AB15" s="8" t="str">
        <f t="shared" si="14"/>
        <v>Passed</v>
      </c>
    </row>
    <row r="16" spans="1:28" ht="16.5" customHeight="1" x14ac:dyDescent="0.25">
      <c r="A16" s="64">
        <f>IF(Record!A9="","",Record!A9)</f>
        <v>4</v>
      </c>
      <c r="B16" s="65" t="str">
        <f>IF(UPPER(Record!B9)="","",UPPER(Record!B9))</f>
        <v>STUDENT_4</v>
      </c>
      <c r="C16" s="66">
        <f>IF(Record!I9="","",Record!I9)</f>
        <v>5</v>
      </c>
      <c r="D16" s="67">
        <f>IF(Record!J9="","",Record!J9)</f>
        <v>12</v>
      </c>
      <c r="E16" s="67">
        <f>IF(Record!K9="","",Record!K9)</f>
        <v>7</v>
      </c>
      <c r="F16" s="67" t="str">
        <f>IF(Record!L9="","",Record!L9)</f>
        <v/>
      </c>
      <c r="G16" s="68" t="str">
        <f>IF(Record!M9="","",Record!M9)</f>
        <v/>
      </c>
      <c r="H16" s="6">
        <f t="shared" si="0"/>
        <v>62.5</v>
      </c>
      <c r="I16" s="6">
        <f t="shared" si="1"/>
        <v>90</v>
      </c>
      <c r="J16" s="6">
        <f t="shared" si="2"/>
        <v>85</v>
      </c>
      <c r="K16" s="6" t="str">
        <f t="shared" si="3"/>
        <v/>
      </c>
      <c r="L16" s="6" t="str">
        <f t="shared" si="4"/>
        <v/>
      </c>
      <c r="M16" s="7">
        <f t="shared" si="5"/>
        <v>79.166666666666671</v>
      </c>
      <c r="N16" s="66">
        <f>IF(Record!N9="","",Record!N9)</f>
        <v>10</v>
      </c>
      <c r="O16" s="67">
        <f>IF(Record!O9="","",Record!O9)</f>
        <v>10</v>
      </c>
      <c r="P16" s="67">
        <f>IF(Record!P9="","",Record!P9)</f>
        <v>8</v>
      </c>
      <c r="Q16" s="67" t="str">
        <f>IF(Record!Q9="","",Record!Q9)</f>
        <v/>
      </c>
      <c r="R16" s="69" t="str">
        <f>IF(Record!R9="","",Record!R9)</f>
        <v/>
      </c>
      <c r="S16" s="6">
        <f t="shared" si="6"/>
        <v>100</v>
      </c>
      <c r="T16" s="6">
        <f t="shared" si="7"/>
        <v>100</v>
      </c>
      <c r="U16" s="6">
        <f t="shared" si="8"/>
        <v>90</v>
      </c>
      <c r="V16" s="6" t="str">
        <f t="shared" si="9"/>
        <v/>
      </c>
      <c r="W16" s="6" t="str">
        <f t="shared" si="10"/>
        <v/>
      </c>
      <c r="X16" s="7">
        <f t="shared" si="11"/>
        <v>96.666666666666671</v>
      </c>
      <c r="Y16" s="66">
        <f>IF(Record!S9="","",Record!S9)</f>
        <v>37</v>
      </c>
      <c r="Z16" s="7">
        <f t="shared" si="12"/>
        <v>87</v>
      </c>
      <c r="AA16" s="55">
        <f t="shared" si="13"/>
        <v>85.800000000000011</v>
      </c>
      <c r="AB16" s="8" t="str">
        <f t="shared" si="14"/>
        <v>Passed</v>
      </c>
    </row>
    <row r="17" spans="1:28" ht="16.5" customHeight="1" x14ac:dyDescent="0.25">
      <c r="A17" s="64">
        <f>IF(Record!A10="","",Record!A10)</f>
        <v>5</v>
      </c>
      <c r="B17" s="65" t="str">
        <f>IF(UPPER(Record!B10)="","",UPPER(Record!B10))</f>
        <v>STUDENT_5</v>
      </c>
      <c r="C17" s="66">
        <f>IF(Record!I10="","",Record!I10)</f>
        <v>17</v>
      </c>
      <c r="D17" s="67">
        <f>IF(Record!J10="","",Record!J10)</f>
        <v>9</v>
      </c>
      <c r="E17" s="67">
        <f>IF(Record!K10="","",Record!K10)</f>
        <v>7</v>
      </c>
      <c r="F17" s="67" t="str">
        <f>IF(Record!L10="","",Record!L10)</f>
        <v/>
      </c>
      <c r="G17" s="68" t="str">
        <f>IF(Record!M10="","",Record!M10)</f>
        <v/>
      </c>
      <c r="H17" s="6">
        <f t="shared" ref="H17:H22" si="15">IF(C17="","",(C17/$C$11)*50+50)</f>
        <v>92.5</v>
      </c>
      <c r="I17" s="6">
        <f t="shared" ref="I17:I22" si="16">IF(D17="","",(D17/$D$11)*50+50)</f>
        <v>80</v>
      </c>
      <c r="J17" s="6">
        <f t="shared" ref="J17:J22" si="17">IF(E17="","",(E17/$E$11)*50+50)</f>
        <v>85</v>
      </c>
      <c r="K17" s="6" t="str">
        <f t="shared" ref="K17:K22" si="18">IF(F17="","",(F17/$F$11)*50+50)</f>
        <v/>
      </c>
      <c r="L17" s="6" t="str">
        <f t="shared" ref="L17:L22" si="19">IF(G17="","",(G17/$G$11)*50+50)</f>
        <v/>
      </c>
      <c r="M17" s="7">
        <f t="shared" ref="M17:M22" si="20">IFERROR(AVERAGE(H17:L17),"")</f>
        <v>85.833333333333329</v>
      </c>
      <c r="N17" s="66">
        <f>IF(Record!N10="","",Record!N10)</f>
        <v>10</v>
      </c>
      <c r="O17" s="67">
        <f>IF(Record!O10="","",Record!O10)</f>
        <v>8</v>
      </c>
      <c r="P17" s="67">
        <f>IF(Record!P10="","",Record!P10)</f>
        <v>7</v>
      </c>
      <c r="Q17" s="67" t="str">
        <f>IF(Record!Q10="","",Record!Q10)</f>
        <v/>
      </c>
      <c r="R17" s="69" t="str">
        <f>IF(Record!R10="","",Record!R10)</f>
        <v/>
      </c>
      <c r="S17" s="6">
        <f t="shared" ref="S17:S22" si="21">IF(N17="","",(N17/$N$11)*50+50)</f>
        <v>100</v>
      </c>
      <c r="T17" s="6">
        <f t="shared" ref="T17:T22" si="22">IF(O17="","",(O17/$O$11)*50+50)</f>
        <v>90</v>
      </c>
      <c r="U17" s="6">
        <f t="shared" ref="U17:U22" si="23">IF(P17="","",(P17/$P$11)*50+50)</f>
        <v>85</v>
      </c>
      <c r="V17" s="6" t="str">
        <f t="shared" ref="V17:V22" si="24">IF(Q17="","",(Q17/$Q$11)*50+50)</f>
        <v/>
      </c>
      <c r="W17" s="6" t="str">
        <f t="shared" ref="W17:W22" si="25">IF(R17="","",(R17/$R$11)*50+50)</f>
        <v/>
      </c>
      <c r="X17" s="7">
        <f t="shared" ref="X17:X22" si="26">IFERROR(AVERAGE(S17:W17),"")</f>
        <v>91.666666666666671</v>
      </c>
      <c r="Y17" s="66">
        <f>IF(Record!S10="","",Record!S10)</f>
        <v>31</v>
      </c>
      <c r="Z17" s="7">
        <f t="shared" ref="Z17:Z22" si="27">IF(Y17="","",(Y17/$Y$11)*50+50)</f>
        <v>81</v>
      </c>
      <c r="AA17" s="55">
        <f t="shared" ref="AA17:AA22" si="28">IFERROR((M17*0.4+X17*0.2+Z17*0.4),"")</f>
        <v>85.066666666666663</v>
      </c>
      <c r="AB17" s="8" t="str">
        <f t="shared" ref="AB17:AB22" si="29">IF(AA17="","", IF(AA17="-","Dropped",IF(AA17&gt;=74.5,"Passed","Failed")))</f>
        <v>Passed</v>
      </c>
    </row>
    <row r="18" spans="1:28" ht="16.5" customHeight="1" x14ac:dyDescent="0.25">
      <c r="A18" s="64">
        <f>IF(Record!A11="","",Record!A11)</f>
        <v>6</v>
      </c>
      <c r="B18" s="65" t="str">
        <f>IF(UPPER(Record!B11)="","",UPPER(Record!B11))</f>
        <v>STUDENT_6</v>
      </c>
      <c r="C18" s="66">
        <f>IF(Record!I11="","",Record!I11)</f>
        <v>5</v>
      </c>
      <c r="D18" s="67">
        <f>IF(Record!J11="","",Record!J11)</f>
        <v>8</v>
      </c>
      <c r="E18" s="67">
        <f>IF(Record!K11="","",Record!K11)</f>
        <v>7</v>
      </c>
      <c r="F18" s="67" t="str">
        <f>IF(Record!L11="","",Record!L11)</f>
        <v/>
      </c>
      <c r="G18" s="68" t="str">
        <f>IF(Record!M11="","",Record!M11)</f>
        <v/>
      </c>
      <c r="H18" s="6">
        <f t="shared" si="15"/>
        <v>62.5</v>
      </c>
      <c r="I18" s="6">
        <f t="shared" si="16"/>
        <v>76.666666666666671</v>
      </c>
      <c r="J18" s="6">
        <f t="shared" si="17"/>
        <v>85</v>
      </c>
      <c r="K18" s="6" t="str">
        <f t="shared" si="18"/>
        <v/>
      </c>
      <c r="L18" s="6" t="str">
        <f t="shared" si="19"/>
        <v/>
      </c>
      <c r="M18" s="7">
        <f t="shared" si="20"/>
        <v>74.722222222222229</v>
      </c>
      <c r="N18" s="66">
        <f>IF(Record!N11="","",Record!N11)</f>
        <v>10</v>
      </c>
      <c r="O18" s="67">
        <f>IF(Record!O11="","",Record!O11)</f>
        <v>7</v>
      </c>
      <c r="P18" s="67">
        <f>IF(Record!P11="","",Record!P11)</f>
        <v>9</v>
      </c>
      <c r="Q18" s="67" t="str">
        <f>IF(Record!Q11="","",Record!Q11)</f>
        <v/>
      </c>
      <c r="R18" s="69" t="str">
        <f>IF(Record!R11="","",Record!R11)</f>
        <v/>
      </c>
      <c r="S18" s="6">
        <f t="shared" si="21"/>
        <v>100</v>
      </c>
      <c r="T18" s="6">
        <f t="shared" si="22"/>
        <v>85</v>
      </c>
      <c r="U18" s="6">
        <f t="shared" si="23"/>
        <v>95</v>
      </c>
      <c r="V18" s="6" t="str">
        <f t="shared" si="24"/>
        <v/>
      </c>
      <c r="W18" s="6" t="str">
        <f t="shared" si="25"/>
        <v/>
      </c>
      <c r="X18" s="7">
        <f t="shared" si="26"/>
        <v>93.333333333333329</v>
      </c>
      <c r="Y18" s="66">
        <f>IF(Record!S11="","",Record!S11)</f>
        <v>29</v>
      </c>
      <c r="Z18" s="7">
        <f t="shared" si="27"/>
        <v>79</v>
      </c>
      <c r="AA18" s="55">
        <f t="shared" si="28"/>
        <v>80.155555555555566</v>
      </c>
      <c r="AB18" s="8" t="str">
        <f t="shared" si="29"/>
        <v>Passed</v>
      </c>
    </row>
    <row r="19" spans="1:28" ht="16.5" customHeight="1" x14ac:dyDescent="0.25">
      <c r="A19" s="64">
        <f>IF(Record!A12="","",Record!A12)</f>
        <v>7</v>
      </c>
      <c r="B19" s="65" t="str">
        <f>IF(UPPER(Record!B12)="","",UPPER(Record!B12))</f>
        <v>STUDENT_7</v>
      </c>
      <c r="C19" s="66">
        <f>IF(Record!I12="","",Record!I12)</f>
        <v>19</v>
      </c>
      <c r="D19" s="67">
        <f>IF(Record!J12="","",Record!J12)</f>
        <v>11</v>
      </c>
      <c r="E19" s="67">
        <f>IF(Record!K12="","",Record!K12)</f>
        <v>10</v>
      </c>
      <c r="F19" s="67" t="str">
        <f>IF(Record!L12="","",Record!L12)</f>
        <v/>
      </c>
      <c r="G19" s="68" t="str">
        <f>IF(Record!M12="","",Record!M12)</f>
        <v/>
      </c>
      <c r="H19" s="6">
        <f t="shared" si="15"/>
        <v>97.5</v>
      </c>
      <c r="I19" s="6">
        <f t="shared" si="16"/>
        <v>86.666666666666657</v>
      </c>
      <c r="J19" s="6">
        <f t="shared" si="17"/>
        <v>100</v>
      </c>
      <c r="K19" s="6" t="str">
        <f t="shared" si="18"/>
        <v/>
      </c>
      <c r="L19" s="6" t="str">
        <f t="shared" si="19"/>
        <v/>
      </c>
      <c r="M19" s="7">
        <f t="shared" si="20"/>
        <v>94.722222222222214</v>
      </c>
      <c r="N19" s="66">
        <f>IF(Record!N12="","",Record!N12)</f>
        <v>10</v>
      </c>
      <c r="O19" s="67">
        <f>IF(Record!O12="","",Record!O12)</f>
        <v>10</v>
      </c>
      <c r="P19" s="67">
        <f>IF(Record!P12="","",Record!P12)</f>
        <v>8</v>
      </c>
      <c r="Q19" s="67" t="str">
        <f>IF(Record!Q12="","",Record!Q12)</f>
        <v/>
      </c>
      <c r="R19" s="69" t="str">
        <f>IF(Record!R12="","",Record!R12)</f>
        <v/>
      </c>
      <c r="S19" s="6">
        <f t="shared" si="21"/>
        <v>100</v>
      </c>
      <c r="T19" s="6">
        <f t="shared" si="22"/>
        <v>100</v>
      </c>
      <c r="U19" s="6">
        <f t="shared" si="23"/>
        <v>90</v>
      </c>
      <c r="V19" s="6" t="str">
        <f t="shared" si="24"/>
        <v/>
      </c>
      <c r="W19" s="6" t="str">
        <f t="shared" si="25"/>
        <v/>
      </c>
      <c r="X19" s="7">
        <f t="shared" si="26"/>
        <v>96.666666666666671</v>
      </c>
      <c r="Y19" s="66">
        <f>IF(Record!S12="","",Record!S12)</f>
        <v>35</v>
      </c>
      <c r="Z19" s="7">
        <f t="shared" si="27"/>
        <v>85</v>
      </c>
      <c r="AA19" s="55">
        <f t="shared" si="28"/>
        <v>91.222222222222229</v>
      </c>
      <c r="AB19" s="8" t="str">
        <f t="shared" si="29"/>
        <v>Passed</v>
      </c>
    </row>
    <row r="20" spans="1:28" ht="16.5" customHeight="1" x14ac:dyDescent="0.25">
      <c r="A20" s="64">
        <f>IF(Record!A13="","",Record!A13)</f>
        <v>8</v>
      </c>
      <c r="B20" s="65" t="str">
        <f>IF(UPPER(Record!B13)="","",UPPER(Record!B13))</f>
        <v>STUDENT_8</v>
      </c>
      <c r="C20" s="66">
        <f>IF(Record!I13="","",Record!I13)</f>
        <v>20</v>
      </c>
      <c r="D20" s="67">
        <f>IF(Record!J13="","",Record!J13)</f>
        <v>12</v>
      </c>
      <c r="E20" s="67">
        <f>IF(Record!K13="","",Record!K13)</f>
        <v>10</v>
      </c>
      <c r="F20" s="67" t="str">
        <f>IF(Record!L13="","",Record!L13)</f>
        <v/>
      </c>
      <c r="G20" s="68" t="str">
        <f>IF(Record!M13="","",Record!M13)</f>
        <v/>
      </c>
      <c r="H20" s="6">
        <f t="shared" si="15"/>
        <v>100</v>
      </c>
      <c r="I20" s="6">
        <f t="shared" si="16"/>
        <v>90</v>
      </c>
      <c r="J20" s="6">
        <f t="shared" si="17"/>
        <v>100</v>
      </c>
      <c r="K20" s="6" t="str">
        <f t="shared" si="18"/>
        <v/>
      </c>
      <c r="L20" s="6" t="str">
        <f t="shared" si="19"/>
        <v/>
      </c>
      <c r="M20" s="7">
        <f t="shared" si="20"/>
        <v>96.666666666666671</v>
      </c>
      <c r="N20" s="66">
        <f>IF(Record!N13="","",Record!N13)</f>
        <v>10</v>
      </c>
      <c r="O20" s="67">
        <f>IF(Record!O13="","",Record!O13)</f>
        <v>10</v>
      </c>
      <c r="P20" s="67">
        <f>IF(Record!P13="","",Record!P13)</f>
        <v>10</v>
      </c>
      <c r="Q20" s="67" t="str">
        <f>IF(Record!Q13="","",Record!Q13)</f>
        <v/>
      </c>
      <c r="R20" s="69" t="str">
        <f>IF(Record!R13="","",Record!R13)</f>
        <v/>
      </c>
      <c r="S20" s="6">
        <f t="shared" si="21"/>
        <v>100</v>
      </c>
      <c r="T20" s="6">
        <f t="shared" si="22"/>
        <v>100</v>
      </c>
      <c r="U20" s="6">
        <f t="shared" si="23"/>
        <v>100</v>
      </c>
      <c r="V20" s="6" t="str">
        <f t="shared" si="24"/>
        <v/>
      </c>
      <c r="W20" s="6" t="str">
        <f t="shared" si="25"/>
        <v/>
      </c>
      <c r="X20" s="7">
        <f t="shared" si="26"/>
        <v>100</v>
      </c>
      <c r="Y20" s="66">
        <f>IF(Record!S13="","",Record!S13)</f>
        <v>42</v>
      </c>
      <c r="Z20" s="7">
        <f t="shared" si="27"/>
        <v>92</v>
      </c>
      <c r="AA20" s="55">
        <f t="shared" si="28"/>
        <v>95.466666666666669</v>
      </c>
      <c r="AB20" s="8" t="str">
        <f t="shared" si="29"/>
        <v>Passed</v>
      </c>
    </row>
    <row r="21" spans="1:28" ht="16.5" customHeight="1" x14ac:dyDescent="0.25">
      <c r="A21" s="64">
        <f>IF(Record!A14="","",Record!A14)</f>
        <v>9</v>
      </c>
      <c r="B21" s="65" t="str">
        <f>IF(UPPER(Record!B14)="","",UPPER(Record!B14))</f>
        <v>STUDENT_9</v>
      </c>
      <c r="C21" s="66">
        <f>IF(Record!I14="","",Record!I14)</f>
        <v>10</v>
      </c>
      <c r="D21" s="67">
        <f>IF(Record!J14="","",Record!J14)</f>
        <v>8</v>
      </c>
      <c r="E21" s="67">
        <f>IF(Record!K14="","",Record!K14)</f>
        <v>7</v>
      </c>
      <c r="F21" s="67" t="str">
        <f>IF(Record!L14="","",Record!L14)</f>
        <v/>
      </c>
      <c r="G21" s="68" t="str">
        <f>IF(Record!M14="","",Record!M14)</f>
        <v/>
      </c>
      <c r="H21" s="6">
        <f t="shared" si="15"/>
        <v>75</v>
      </c>
      <c r="I21" s="6">
        <f t="shared" si="16"/>
        <v>76.666666666666671</v>
      </c>
      <c r="J21" s="6">
        <f t="shared" si="17"/>
        <v>85</v>
      </c>
      <c r="K21" s="6" t="str">
        <f t="shared" si="18"/>
        <v/>
      </c>
      <c r="L21" s="6" t="str">
        <f t="shared" si="19"/>
        <v/>
      </c>
      <c r="M21" s="7">
        <f t="shared" si="20"/>
        <v>78.8888888888889</v>
      </c>
      <c r="N21" s="66">
        <f>IF(Record!N14="","",Record!N14)</f>
        <v>10</v>
      </c>
      <c r="O21" s="67">
        <f>IF(Record!O14="","",Record!O14)</f>
        <v>7</v>
      </c>
      <c r="P21" s="67">
        <f>IF(Record!P14="","",Record!P14)</f>
        <v>9</v>
      </c>
      <c r="Q21" s="67" t="str">
        <f>IF(Record!Q14="","",Record!Q14)</f>
        <v/>
      </c>
      <c r="R21" s="69" t="str">
        <f>IF(Record!R14="","",Record!R14)</f>
        <v/>
      </c>
      <c r="S21" s="6">
        <f t="shared" si="21"/>
        <v>100</v>
      </c>
      <c r="T21" s="6">
        <f t="shared" si="22"/>
        <v>85</v>
      </c>
      <c r="U21" s="6">
        <f t="shared" si="23"/>
        <v>95</v>
      </c>
      <c r="V21" s="6" t="str">
        <f t="shared" si="24"/>
        <v/>
      </c>
      <c r="W21" s="6" t="str">
        <f t="shared" si="25"/>
        <v/>
      </c>
      <c r="X21" s="7">
        <f t="shared" si="26"/>
        <v>93.333333333333329</v>
      </c>
      <c r="Y21" s="66">
        <f>IF(Record!S14="","",Record!S14)</f>
        <v>30</v>
      </c>
      <c r="Z21" s="7">
        <f t="shared" si="27"/>
        <v>80</v>
      </c>
      <c r="AA21" s="55">
        <f t="shared" si="28"/>
        <v>82.222222222222229</v>
      </c>
      <c r="AB21" s="8" t="str">
        <f t="shared" si="29"/>
        <v>Passed</v>
      </c>
    </row>
    <row r="22" spans="1:28" ht="16.5" customHeight="1" x14ac:dyDescent="0.25">
      <c r="A22" s="64">
        <f>IF(Record!A15="","",Record!A15)</f>
        <v>10</v>
      </c>
      <c r="B22" s="65" t="str">
        <f>IF(UPPER(Record!B15)="","",UPPER(Record!B15))</f>
        <v>STUDENT_10</v>
      </c>
      <c r="C22" s="66">
        <f>IF(Record!I15="","",Record!I15)</f>
        <v>5</v>
      </c>
      <c r="D22" s="67">
        <f>IF(Record!J15="","",Record!J15)</f>
        <v>5</v>
      </c>
      <c r="E22" s="67">
        <f>IF(Record!K15="","",Record!K15)</f>
        <v>6</v>
      </c>
      <c r="F22" s="67" t="str">
        <f>IF(Record!L15="","",Record!L15)</f>
        <v/>
      </c>
      <c r="G22" s="68" t="str">
        <f>IF(Record!M15="","",Record!M15)</f>
        <v/>
      </c>
      <c r="H22" s="6">
        <f t="shared" si="15"/>
        <v>62.5</v>
      </c>
      <c r="I22" s="6">
        <f t="shared" si="16"/>
        <v>66.666666666666657</v>
      </c>
      <c r="J22" s="6">
        <f t="shared" si="17"/>
        <v>80</v>
      </c>
      <c r="K22" s="6" t="str">
        <f t="shared" si="18"/>
        <v/>
      </c>
      <c r="L22" s="6" t="str">
        <f t="shared" si="19"/>
        <v/>
      </c>
      <c r="M22" s="7">
        <f t="shared" si="20"/>
        <v>69.722222222222214</v>
      </c>
      <c r="N22" s="66">
        <f>IF(Record!N15="","",Record!N15)</f>
        <v>10</v>
      </c>
      <c r="O22" s="67">
        <f>IF(Record!O15="","",Record!O15)</f>
        <v>0</v>
      </c>
      <c r="P22" s="67">
        <f>IF(Record!P15="","",Record!P15)</f>
        <v>8</v>
      </c>
      <c r="Q22" s="67" t="str">
        <f>IF(Record!Q15="","",Record!Q15)</f>
        <v/>
      </c>
      <c r="R22" s="69" t="str">
        <f>IF(Record!R15="","",Record!R15)</f>
        <v/>
      </c>
      <c r="S22" s="6">
        <f t="shared" si="21"/>
        <v>100</v>
      </c>
      <c r="T22" s="6">
        <f t="shared" si="22"/>
        <v>50</v>
      </c>
      <c r="U22" s="6">
        <f t="shared" si="23"/>
        <v>90</v>
      </c>
      <c r="V22" s="6" t="str">
        <f t="shared" si="24"/>
        <v/>
      </c>
      <c r="W22" s="6" t="str">
        <f t="shared" si="25"/>
        <v/>
      </c>
      <c r="X22" s="7">
        <f t="shared" si="26"/>
        <v>80</v>
      </c>
      <c r="Y22" s="66">
        <f>IF(Record!S15="","",Record!S15)</f>
        <v>15</v>
      </c>
      <c r="Z22" s="7">
        <f t="shared" si="27"/>
        <v>65</v>
      </c>
      <c r="AA22" s="55">
        <f t="shared" si="28"/>
        <v>69.888888888888886</v>
      </c>
      <c r="AB22" s="8" t="str">
        <f t="shared" si="29"/>
        <v>Failed</v>
      </c>
    </row>
    <row r="23" spans="1:28" s="13" customFormat="1" ht="15" customHeight="1" thickBot="1" x14ac:dyDescent="0.3">
      <c r="A23" s="121"/>
      <c r="B23" s="122"/>
      <c r="C23" s="123"/>
      <c r="D23" s="124"/>
      <c r="E23" s="124"/>
      <c r="F23" s="124"/>
      <c r="G23" s="125"/>
      <c r="H23" s="126"/>
      <c r="I23" s="126"/>
      <c r="J23" s="126"/>
      <c r="K23" s="126"/>
      <c r="L23" s="126"/>
      <c r="M23" s="127"/>
      <c r="N23" s="123"/>
      <c r="O23" s="124"/>
      <c r="P23" s="124"/>
      <c r="Q23" s="124"/>
      <c r="R23" s="128"/>
      <c r="S23" s="126"/>
      <c r="T23" s="126"/>
      <c r="U23" s="126"/>
      <c r="V23" s="126"/>
      <c r="W23" s="126"/>
      <c r="X23" s="127"/>
      <c r="Y23" s="123"/>
      <c r="Z23" s="127"/>
      <c r="AA23" s="129"/>
      <c r="AB23" s="130"/>
    </row>
    <row r="24" spans="1:28" s="13" customFormat="1" ht="15" customHeight="1" x14ac:dyDescent="0.25">
      <c r="A24" s="78"/>
      <c r="B24" s="79"/>
      <c r="C24" s="80"/>
      <c r="D24" s="80"/>
      <c r="E24" s="80"/>
      <c r="F24" s="80"/>
      <c r="G24" s="80"/>
      <c r="H24" s="10"/>
      <c r="I24" s="10"/>
      <c r="J24" s="10"/>
      <c r="K24" s="10"/>
      <c r="L24" s="10"/>
      <c r="M24" s="10"/>
      <c r="N24" s="80"/>
      <c r="O24" s="80"/>
      <c r="P24" s="80"/>
      <c r="Q24" s="80"/>
      <c r="R24" s="41"/>
      <c r="S24" s="10"/>
      <c r="T24" s="10"/>
      <c r="U24" s="10"/>
      <c r="V24" s="10"/>
      <c r="W24" s="10"/>
      <c r="X24" s="10"/>
      <c r="Y24" s="80"/>
      <c r="Z24" s="10"/>
      <c r="AA24" s="94"/>
      <c r="AB24" s="12"/>
    </row>
    <row r="25" spans="1:28" s="13" customFormat="1" ht="15" customHeight="1" x14ac:dyDescent="0.25">
      <c r="A25" s="78"/>
      <c r="B25" s="79"/>
      <c r="C25" s="80"/>
      <c r="D25" s="80"/>
      <c r="E25" s="80"/>
      <c r="F25" s="80"/>
      <c r="G25" s="80"/>
      <c r="H25" s="10"/>
      <c r="I25" s="10"/>
      <c r="J25" s="10"/>
      <c r="K25" s="10"/>
      <c r="L25" s="10"/>
      <c r="M25" s="10"/>
      <c r="N25" s="80"/>
      <c r="O25" s="80"/>
      <c r="P25" s="80"/>
      <c r="Q25" s="80"/>
      <c r="R25" s="41"/>
      <c r="S25" s="10"/>
      <c r="T25" s="10"/>
      <c r="U25" s="10"/>
      <c r="V25" s="10"/>
      <c r="W25" s="10"/>
      <c r="X25" s="10"/>
      <c r="Y25" s="80"/>
      <c r="Z25" s="10"/>
      <c r="AA25" s="94"/>
      <c r="AB25" s="12"/>
    </row>
    <row r="26" spans="1:28" s="13" customFormat="1" ht="15" customHeight="1" x14ac:dyDescent="0.25">
      <c r="A26" s="78"/>
      <c r="B26" s="79"/>
      <c r="C26" s="80"/>
      <c r="D26" s="80"/>
      <c r="E26" s="80"/>
      <c r="F26" s="80"/>
      <c r="G26" s="80"/>
      <c r="H26" s="10"/>
      <c r="I26" s="10"/>
      <c r="J26" s="10"/>
      <c r="K26" s="10"/>
      <c r="L26" s="10"/>
      <c r="M26" s="10"/>
      <c r="N26" s="80"/>
      <c r="O26" s="80"/>
      <c r="P26" s="80"/>
      <c r="Q26" s="80"/>
      <c r="R26" s="41"/>
      <c r="S26" s="10"/>
      <c r="T26" s="10"/>
      <c r="U26" s="10"/>
      <c r="V26" s="10"/>
      <c r="W26" s="10"/>
      <c r="X26" s="10"/>
      <c r="Y26" s="80"/>
      <c r="Z26" s="10"/>
      <c r="AA26" s="94"/>
      <c r="AB26" s="12"/>
    </row>
    <row r="27" spans="1:28" s="13" customFormat="1" ht="15" customHeight="1" x14ac:dyDescent="0.25">
      <c r="A27" s="78"/>
      <c r="B27" s="79"/>
      <c r="C27" s="80"/>
      <c r="D27" s="80"/>
      <c r="E27" s="80"/>
      <c r="F27" s="80"/>
      <c r="G27" s="80"/>
      <c r="H27" s="10"/>
      <c r="I27" s="10"/>
      <c r="J27" s="10"/>
      <c r="K27" s="10"/>
      <c r="L27" s="10"/>
      <c r="M27" s="10"/>
      <c r="N27" s="80"/>
      <c r="O27" s="80"/>
      <c r="P27" s="80"/>
      <c r="Q27" s="80"/>
      <c r="R27" s="41"/>
      <c r="S27" s="10"/>
      <c r="T27" s="10"/>
      <c r="U27" s="10"/>
      <c r="V27" s="10"/>
      <c r="W27" s="10"/>
      <c r="X27" s="10"/>
      <c r="Y27" s="80"/>
      <c r="Z27" s="10"/>
      <c r="AA27" s="94"/>
      <c r="AB27" s="12"/>
    </row>
    <row r="28" spans="1:28" s="13" customFormat="1" ht="15" customHeight="1" x14ac:dyDescent="0.25">
      <c r="A28" s="78"/>
      <c r="B28" s="79"/>
      <c r="C28" s="80"/>
      <c r="D28" s="80"/>
      <c r="E28" s="80"/>
      <c r="F28" s="80"/>
      <c r="G28" s="80"/>
      <c r="H28" s="10"/>
      <c r="I28" s="10"/>
      <c r="J28" s="10"/>
      <c r="K28" s="10"/>
      <c r="L28" s="10"/>
      <c r="M28" s="10"/>
      <c r="N28" s="80"/>
      <c r="O28" s="80"/>
      <c r="P28" s="80"/>
      <c r="Q28" s="80"/>
      <c r="R28" s="41"/>
      <c r="S28" s="10"/>
      <c r="T28" s="10"/>
      <c r="U28" s="10"/>
      <c r="V28" s="10"/>
      <c r="W28" s="10"/>
      <c r="X28" s="10"/>
      <c r="Y28" s="80"/>
      <c r="Z28" s="10"/>
      <c r="AA28" s="94"/>
      <c r="AB28" s="12"/>
    </row>
    <row r="29" spans="1:28" s="13" customFormat="1" ht="15" customHeight="1" x14ac:dyDescent="0.25">
      <c r="A29" s="78"/>
      <c r="B29" s="79"/>
      <c r="C29" s="80"/>
      <c r="D29" s="80"/>
      <c r="E29" s="80"/>
      <c r="F29" s="80"/>
      <c r="G29" s="80"/>
      <c r="H29" s="10"/>
      <c r="I29" s="10"/>
      <c r="J29" s="10"/>
      <c r="K29" s="10"/>
      <c r="L29" s="10"/>
      <c r="M29" s="10"/>
      <c r="N29" s="80"/>
      <c r="O29" s="80"/>
      <c r="P29" s="80"/>
      <c r="Q29" s="80"/>
      <c r="R29" s="41"/>
      <c r="S29" s="10"/>
      <c r="T29" s="10"/>
      <c r="U29" s="10"/>
      <c r="V29" s="10"/>
      <c r="W29" s="10"/>
      <c r="X29" s="10"/>
      <c r="Y29" s="80"/>
      <c r="Z29" s="10"/>
      <c r="AA29" s="94"/>
      <c r="AB29" s="12"/>
    </row>
    <row r="30" spans="1:28" s="13" customFormat="1" ht="15" customHeight="1" x14ac:dyDescent="0.25">
      <c r="A30" s="78"/>
      <c r="B30" s="79"/>
      <c r="C30" s="80"/>
      <c r="D30" s="80"/>
      <c r="E30" s="80"/>
      <c r="F30" s="80"/>
      <c r="G30" s="80"/>
      <c r="H30" s="10"/>
      <c r="I30" s="10"/>
      <c r="J30" s="10"/>
      <c r="K30" s="10"/>
      <c r="L30" s="10"/>
      <c r="M30" s="10"/>
      <c r="N30" s="80"/>
      <c r="O30" s="80"/>
      <c r="P30" s="80"/>
      <c r="Q30" s="80"/>
      <c r="R30" s="41"/>
      <c r="S30" s="10"/>
      <c r="T30" s="10"/>
      <c r="U30" s="10"/>
      <c r="V30" s="10"/>
      <c r="W30" s="10"/>
      <c r="X30" s="10"/>
      <c r="Y30" s="80"/>
      <c r="Z30" s="10"/>
      <c r="AA30" s="94"/>
      <c r="AB30" s="12"/>
    </row>
    <row r="31" spans="1:28" s="13" customFormat="1" ht="15" customHeight="1" x14ac:dyDescent="0.25">
      <c r="A31" s="78"/>
      <c r="B31" s="79"/>
      <c r="C31" s="80"/>
      <c r="D31" s="80"/>
      <c r="E31" s="80"/>
      <c r="F31" s="80"/>
      <c r="G31" s="80"/>
      <c r="H31" s="10"/>
      <c r="I31" s="10"/>
      <c r="J31" s="10"/>
      <c r="K31" s="10"/>
      <c r="L31" s="10"/>
      <c r="M31" s="10"/>
      <c r="N31" s="80"/>
      <c r="O31" s="80"/>
      <c r="P31" s="80"/>
      <c r="Q31" s="80"/>
      <c r="R31" s="41"/>
      <c r="S31" s="10"/>
      <c r="T31" s="10"/>
      <c r="U31" s="10"/>
      <c r="V31" s="10"/>
      <c r="W31" s="10"/>
      <c r="X31" s="10"/>
      <c r="Y31" s="80"/>
      <c r="Z31" s="10"/>
      <c r="AA31" s="94"/>
      <c r="AB31" s="12"/>
    </row>
    <row r="32" spans="1:28" s="13" customFormat="1" ht="15" customHeight="1" x14ac:dyDescent="0.25">
      <c r="A32" s="78"/>
      <c r="B32" s="79"/>
      <c r="C32" s="80"/>
      <c r="D32" s="80"/>
      <c r="E32" s="80"/>
      <c r="F32" s="80"/>
      <c r="G32" s="80"/>
      <c r="H32" s="10"/>
      <c r="I32" s="10"/>
      <c r="J32" s="10"/>
      <c r="K32" s="10"/>
      <c r="L32" s="10"/>
      <c r="M32" s="10"/>
      <c r="N32" s="80"/>
      <c r="O32" s="80"/>
      <c r="P32" s="80"/>
      <c r="Q32" s="80"/>
      <c r="R32" s="41"/>
      <c r="S32" s="10"/>
      <c r="T32" s="10"/>
      <c r="U32" s="10"/>
      <c r="V32" s="10"/>
      <c r="W32" s="10"/>
      <c r="X32" s="10"/>
      <c r="Y32" s="80"/>
      <c r="Z32" s="10"/>
      <c r="AA32" s="94"/>
      <c r="AB32" s="12"/>
    </row>
    <row r="33" spans="1:28" s="13" customFormat="1" ht="15" customHeight="1" x14ac:dyDescent="0.25">
      <c r="A33" s="78"/>
      <c r="B33" s="79"/>
      <c r="C33" s="80"/>
      <c r="D33" s="80"/>
      <c r="E33" s="80"/>
      <c r="F33" s="80"/>
      <c r="G33" s="80"/>
      <c r="H33" s="10"/>
      <c r="I33" s="10"/>
      <c r="J33" s="10"/>
      <c r="K33" s="10"/>
      <c r="L33" s="10"/>
      <c r="M33" s="10"/>
      <c r="N33" s="80"/>
      <c r="O33" s="80"/>
      <c r="P33" s="80"/>
      <c r="Q33" s="80"/>
      <c r="R33" s="41"/>
      <c r="S33" s="10"/>
      <c r="T33" s="10"/>
      <c r="U33" s="10"/>
      <c r="V33" s="10"/>
      <c r="W33" s="10"/>
      <c r="X33" s="10"/>
      <c r="Y33" s="80"/>
      <c r="Z33" s="10"/>
      <c r="AA33" s="94"/>
      <c r="AB33" s="12"/>
    </row>
    <row r="34" spans="1:28" s="81" customFormat="1" ht="16.5" customHeight="1" x14ac:dyDescent="0.25">
      <c r="A34" s="211" t="s">
        <v>35</v>
      </c>
      <c r="B34" s="211"/>
      <c r="C34" s="211"/>
      <c r="D34" s="211"/>
      <c r="E34" s="211"/>
      <c r="F34" s="212" t="s">
        <v>36</v>
      </c>
      <c r="G34" s="212"/>
      <c r="H34" s="212"/>
      <c r="I34" s="212"/>
      <c r="J34" s="212"/>
      <c r="K34" s="212"/>
      <c r="L34" s="212"/>
      <c r="M34" s="212"/>
      <c r="N34" s="212"/>
      <c r="O34" s="212"/>
      <c r="P34" s="212"/>
      <c r="Q34" s="212"/>
      <c r="R34" s="212"/>
      <c r="S34" s="212"/>
      <c r="T34" s="212" t="s">
        <v>37</v>
      </c>
      <c r="U34" s="212"/>
      <c r="V34" s="212"/>
      <c r="W34" s="212"/>
      <c r="X34" s="212"/>
      <c r="Y34" s="212"/>
      <c r="Z34" s="212"/>
      <c r="AA34" s="212"/>
      <c r="AB34" s="212"/>
    </row>
    <row r="35" spans="1:28" ht="16.5" customHeight="1" x14ac:dyDescent="0.25">
      <c r="A35" s="203"/>
      <c r="B35" s="203"/>
      <c r="C35" s="203"/>
      <c r="D35" s="203"/>
      <c r="E35" s="203"/>
      <c r="F35" s="203"/>
      <c r="G35" s="203"/>
      <c r="H35" s="203"/>
      <c r="I35" s="203"/>
      <c r="J35" s="203"/>
      <c r="K35" s="203"/>
      <c r="L35" s="203"/>
      <c r="M35" s="203"/>
      <c r="N35" s="203"/>
      <c r="O35" s="203"/>
      <c r="P35" s="203"/>
      <c r="Q35" s="203"/>
      <c r="R35" s="203"/>
      <c r="S35" s="203"/>
      <c r="T35" s="203"/>
      <c r="U35" s="203"/>
      <c r="V35" s="203"/>
      <c r="W35" s="203"/>
      <c r="X35" s="203"/>
      <c r="Y35" s="203"/>
      <c r="Z35" s="203"/>
      <c r="AA35" s="203"/>
      <c r="AB35" s="203"/>
    </row>
    <row r="36" spans="1:28" s="83" customFormat="1" ht="16.5" customHeight="1" x14ac:dyDescent="0.25">
      <c r="A36" s="208" t="str">
        <f>IF(UPPER([1]Subject_Info!B7)="","",UPPER([1]Subject_Info!B7))</f>
        <v>JENNIFER L. PIDO</v>
      </c>
      <c r="B36" s="208"/>
      <c r="C36" s="208"/>
      <c r="D36" s="208"/>
      <c r="E36" s="208"/>
      <c r="F36" s="208" t="str">
        <f>IF(UPPER(Subject_Info!B8)="","",UPPER(Subject_Info!B8))</f>
        <v/>
      </c>
      <c r="G36" s="208"/>
      <c r="H36" s="208"/>
      <c r="I36" s="208"/>
      <c r="J36" s="208"/>
      <c r="K36" s="208"/>
      <c r="L36" s="208"/>
      <c r="M36" s="208"/>
      <c r="N36" s="208"/>
      <c r="O36" s="208"/>
      <c r="P36" s="208"/>
      <c r="Q36" s="208"/>
      <c r="R36" s="208"/>
      <c r="S36" s="208"/>
      <c r="T36" s="209" t="str">
        <f>IF(([1]Subject_Info!B9)="","",([1]Subject_Info!B9))</f>
        <v>DR. REYNALDO B. ROJO</v>
      </c>
      <c r="U36" s="209"/>
      <c r="V36" s="209"/>
      <c r="W36" s="209"/>
      <c r="X36" s="209"/>
      <c r="Y36" s="209"/>
      <c r="Z36" s="209"/>
      <c r="AA36" s="209"/>
      <c r="AB36" s="209"/>
    </row>
    <row r="37" spans="1:28" s="84" customFormat="1" ht="16.5" customHeight="1" x14ac:dyDescent="0.25">
      <c r="A37" s="210" t="s">
        <v>38</v>
      </c>
      <c r="B37" s="210"/>
      <c r="C37" s="210"/>
      <c r="D37" s="210"/>
      <c r="E37" s="210"/>
      <c r="F37" s="210" t="s">
        <v>39</v>
      </c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 t="s">
        <v>40</v>
      </c>
      <c r="U37" s="210"/>
      <c r="V37" s="210"/>
      <c r="W37" s="210"/>
      <c r="X37" s="210"/>
      <c r="Y37" s="210"/>
      <c r="Z37" s="210"/>
      <c r="AA37" s="210"/>
      <c r="AB37" s="210"/>
    </row>
    <row r="38" spans="1:28" ht="16.5" customHeight="1" x14ac:dyDescent="0.25"/>
  </sheetData>
  <sheetProtection selectLockedCells="1"/>
  <mergeCells count="51">
    <mergeCell ref="A34:E34"/>
    <mergeCell ref="F34:S34"/>
    <mergeCell ref="T34:AB34"/>
    <mergeCell ref="A35:E35"/>
    <mergeCell ref="F35:S35"/>
    <mergeCell ref="T35:AB35"/>
    <mergeCell ref="A36:E36"/>
    <mergeCell ref="F36:S36"/>
    <mergeCell ref="T36:AB36"/>
    <mergeCell ref="A37:E37"/>
    <mergeCell ref="F37:S37"/>
    <mergeCell ref="T37:AB37"/>
    <mergeCell ref="A1:AB1"/>
    <mergeCell ref="A2:AB2"/>
    <mergeCell ref="A3:AB3"/>
    <mergeCell ref="A4:AB4"/>
    <mergeCell ref="C5:H5"/>
    <mergeCell ref="I5:L5"/>
    <mergeCell ref="M5:Q5"/>
    <mergeCell ref="R5:S5"/>
    <mergeCell ref="T5:W5"/>
    <mergeCell ref="C6:H6"/>
    <mergeCell ref="I6:L6"/>
    <mergeCell ref="M6:Q6"/>
    <mergeCell ref="R6:W6"/>
    <mergeCell ref="C7:H7"/>
    <mergeCell ref="I7:L7"/>
    <mergeCell ref="M7:Q7"/>
    <mergeCell ref="R7:W7"/>
    <mergeCell ref="N9:R9"/>
    <mergeCell ref="S9:X9"/>
    <mergeCell ref="T10:T11"/>
    <mergeCell ref="U10:U11"/>
    <mergeCell ref="V10:V11"/>
    <mergeCell ref="W10:W11"/>
    <mergeCell ref="A8:AB8"/>
    <mergeCell ref="X10:X11"/>
    <mergeCell ref="Y10:Z10"/>
    <mergeCell ref="AA9:AA11"/>
    <mergeCell ref="AB9:AB11"/>
    <mergeCell ref="H10:H11"/>
    <mergeCell ref="I10:I11"/>
    <mergeCell ref="J10:J11"/>
    <mergeCell ref="K10:K11"/>
    <mergeCell ref="L10:L11"/>
    <mergeCell ref="M10:M11"/>
    <mergeCell ref="S10:S11"/>
    <mergeCell ref="Y9:Z9"/>
    <mergeCell ref="A9:A11"/>
    <mergeCell ref="C9:G9"/>
    <mergeCell ref="H9:M9"/>
  </mergeCells>
  <conditionalFormatting sqref="A4">
    <cfRule type="cellIs" dxfId="35" priority="32" stopIfTrue="1" operator="lessThan">
      <formula>75</formula>
    </cfRule>
  </conditionalFormatting>
  <conditionalFormatting sqref="A2:A4">
    <cfRule type="cellIs" dxfId="34" priority="31" stopIfTrue="1" operator="greaterThan">
      <formula>0</formula>
    </cfRule>
  </conditionalFormatting>
  <conditionalFormatting sqref="M12:M33 X12:X33 Z12:AA33">
    <cfRule type="cellIs" dxfId="33" priority="30" operator="lessThan">
      <formula>75</formula>
    </cfRule>
  </conditionalFormatting>
  <conditionalFormatting sqref="AB12:AB33">
    <cfRule type="cellIs" dxfId="32" priority="26" operator="equal">
      <formula>"Failed"</formula>
    </cfRule>
  </conditionalFormatting>
  <conditionalFormatting sqref="H12:L33 S12:W33">
    <cfRule type="cellIs" dxfId="31" priority="23" operator="lessThan">
      <formula>75</formula>
    </cfRule>
  </conditionalFormatting>
  <dataValidations count="11">
    <dataValidation type="whole" operator="lessThanOrEqual" allowBlank="1" showInputMessage="1" showErrorMessage="1" error="Value exceeded highest score or invalid." sqref="G12:G33">
      <formula1>$G$11</formula1>
    </dataValidation>
    <dataValidation type="whole" operator="lessThanOrEqual" allowBlank="1" showInputMessage="1" showErrorMessage="1" error="Value exceeded highest score or invalid." sqref="D12:D33">
      <formula1>$D$11</formula1>
    </dataValidation>
    <dataValidation type="whole" operator="lessThanOrEqual" allowBlank="1" showInputMessage="1" showErrorMessage="1" error="Value exceeded highest score or invalid." sqref="E12:E33">
      <formula1>$E$11</formula1>
    </dataValidation>
    <dataValidation type="whole" operator="lessThanOrEqual" allowBlank="1" showInputMessage="1" showErrorMessage="1" error="Value exceeded highest score or invalid." sqref="F12:F33">
      <formula1>$F$11</formula1>
    </dataValidation>
    <dataValidation type="whole" operator="lessThanOrEqual" allowBlank="1" showInputMessage="1" showErrorMessage="1" error="Value exceeded highest score or invalid." sqref="Y12:Y33">
      <formula1>$Y$11</formula1>
    </dataValidation>
    <dataValidation type="whole" operator="lessThanOrEqual" allowBlank="1" showInputMessage="1" showErrorMessage="1" error="Value exceeded highest score or invalid." sqref="N12:N33">
      <formula1>$N$11</formula1>
    </dataValidation>
    <dataValidation type="whole" operator="lessThanOrEqual" allowBlank="1" showInputMessage="1" showErrorMessage="1" error="Value exceeded highest score or invalid." sqref="O12:O33">
      <formula1>$O$11</formula1>
    </dataValidation>
    <dataValidation type="whole" operator="lessThanOrEqual" allowBlank="1" showInputMessage="1" showErrorMessage="1" error="Value exceeded highest score or invalid." sqref="P12:P33">
      <formula1>$P$11</formula1>
    </dataValidation>
    <dataValidation type="whole" operator="lessThanOrEqual" allowBlank="1" showInputMessage="1" showErrorMessage="1" error="Value exceeded highest score or invalid." sqref="Q12:Q33">
      <formula1>$Q$11</formula1>
    </dataValidation>
    <dataValidation type="whole" operator="lessThanOrEqual" allowBlank="1" showInputMessage="1" showErrorMessage="1" error="Value exceeded highest score or invalid." sqref="R12:R33">
      <formula1>$R$11</formula1>
    </dataValidation>
    <dataValidation type="whole" operator="lessThanOrEqual" allowBlank="1" showInputMessage="1" showErrorMessage="1" error="Value exceeded highest score or invalid." sqref="C12:C33">
      <formula1>$C$11</formula1>
    </dataValidation>
  </dataValidations>
  <pageMargins left="0.19685039370078741" right="0.19685039370078741" top="0.39370078740157483" bottom="0.11811023622047245" header="0.31496062992125984" footer="0.31496062992125984"/>
  <pageSetup scale="85" orientation="landscape" horizontalDpi="4294967294" verticalDpi="0" r:id="rId1"/>
  <ignoredErrors>
    <ignoredError sqref="Y10 N10:R11 C10:G11 C16:G16 N16:R16 Y16 C5:H7 M6:Q7 N5:Q5 AA12:AA16 AA17:AA22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AB37"/>
  <sheetViews>
    <sheetView zoomScaleNormal="100" workbookViewId="0">
      <selection sqref="A1:AB1"/>
    </sheetView>
  </sheetViews>
  <sheetFormatPr defaultColWidth="9.140625" defaultRowHeight="16.5" x14ac:dyDescent="0.25"/>
  <cols>
    <col min="1" max="1" width="3.5703125" style="82" customWidth="1"/>
    <col min="2" max="2" width="28" style="9" customWidth="1"/>
    <col min="3" max="3" width="5.140625" style="9" customWidth="1"/>
    <col min="4" max="4" width="4.5703125" style="9" customWidth="1"/>
    <col min="5" max="7" width="5.140625" style="9" customWidth="1"/>
    <col min="8" max="8" width="3.85546875" style="9" customWidth="1"/>
    <col min="9" max="9" width="4" style="9" customWidth="1"/>
    <col min="10" max="10" width="4.28515625" style="9" customWidth="1"/>
    <col min="11" max="11" width="3.85546875" style="9" customWidth="1"/>
    <col min="12" max="12" width="3.7109375" style="9" customWidth="1"/>
    <col min="13" max="13" width="5.28515625" style="9" customWidth="1"/>
    <col min="14" max="16" width="4.7109375" style="9" customWidth="1"/>
    <col min="17" max="18" width="4.140625" style="9" customWidth="1"/>
    <col min="19" max="19" width="4.28515625" style="9" customWidth="1"/>
    <col min="20" max="20" width="4.7109375" style="9" customWidth="1"/>
    <col min="21" max="23" width="4.5703125" style="9" customWidth="1"/>
    <col min="24" max="24" width="4.28515625" style="9" customWidth="1"/>
    <col min="25" max="26" width="5.28515625" style="9" customWidth="1"/>
    <col min="27" max="27" width="7.5703125" style="9" customWidth="1"/>
    <col min="28" max="28" width="8.42578125" style="82" customWidth="1"/>
    <col min="29" max="16384" width="9.140625" style="9"/>
  </cols>
  <sheetData>
    <row r="1" spans="1:28" ht="18.75" x14ac:dyDescent="0.25">
      <c r="A1" s="204" t="s">
        <v>0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  <c r="AA1" s="204"/>
      <c r="AB1" s="204"/>
    </row>
    <row r="2" spans="1:28" x14ac:dyDescent="0.25">
      <c r="A2" s="205" t="s">
        <v>60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</row>
    <row r="3" spans="1:28" ht="18.75" x14ac:dyDescent="0.25">
      <c r="A3" s="206" t="s">
        <v>1</v>
      </c>
      <c r="B3" s="206"/>
      <c r="C3" s="206"/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</row>
    <row r="4" spans="1:28" x14ac:dyDescent="0.25">
      <c r="A4" s="203"/>
      <c r="B4" s="203"/>
      <c r="C4" s="203"/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203"/>
    </row>
    <row r="5" spans="1:28" x14ac:dyDescent="0.25">
      <c r="B5" s="70" t="s">
        <v>2</v>
      </c>
      <c r="C5" s="200" t="str">
        <f>IF(Subject_Info!B1="","",Subject_Info!B1)</f>
        <v/>
      </c>
      <c r="D5" s="200"/>
      <c r="E5" s="200"/>
      <c r="F5" s="200"/>
      <c r="G5" s="200"/>
      <c r="H5" s="200"/>
      <c r="I5" s="201" t="s">
        <v>3</v>
      </c>
      <c r="J5" s="201"/>
      <c r="K5" s="201"/>
      <c r="L5" s="201"/>
      <c r="M5" s="202" t="str">
        <f>IF(UPPER(Subject_Info!B4)="","",UPPER(Subject_Info!B4))</f>
        <v/>
      </c>
      <c r="N5" s="202"/>
      <c r="O5" s="202"/>
      <c r="P5" s="202"/>
      <c r="Q5" s="202"/>
      <c r="R5" s="205" t="s">
        <v>4</v>
      </c>
      <c r="S5" s="205"/>
      <c r="T5" s="213" t="s">
        <v>41</v>
      </c>
      <c r="U5" s="213"/>
      <c r="V5" s="213"/>
      <c r="W5" s="213"/>
      <c r="X5" s="70" t="s">
        <v>6</v>
      </c>
      <c r="AB5" s="82">
        <f>COUNTIF(AB12:AB37,"Passed")</f>
        <v>10</v>
      </c>
    </row>
    <row r="6" spans="1:28" x14ac:dyDescent="0.25">
      <c r="B6" s="70" t="s">
        <v>7</v>
      </c>
      <c r="C6" s="200" t="str">
        <f>IF(Subject_Info!B2="","",Subject_Info!B2)</f>
        <v/>
      </c>
      <c r="D6" s="200"/>
      <c r="E6" s="200"/>
      <c r="F6" s="200"/>
      <c r="G6" s="200"/>
      <c r="H6" s="200"/>
      <c r="I6" s="201" t="s">
        <v>8</v>
      </c>
      <c r="J6" s="201"/>
      <c r="K6" s="201"/>
      <c r="L6" s="201"/>
      <c r="M6" s="202" t="str">
        <f>IF(Subject_Info!B5="","",Subject_Info!B5)</f>
        <v/>
      </c>
      <c r="N6" s="202"/>
      <c r="O6" s="202"/>
      <c r="P6" s="202"/>
      <c r="Q6" s="202"/>
      <c r="R6" s="203"/>
      <c r="S6" s="203"/>
      <c r="T6" s="203"/>
      <c r="U6" s="203"/>
      <c r="V6" s="203"/>
      <c r="W6" s="203"/>
      <c r="X6" s="70" t="s">
        <v>9</v>
      </c>
      <c r="AB6" s="88">
        <f>COUNTIF(AB12:AB37,"Failed")</f>
        <v>0</v>
      </c>
    </row>
    <row r="7" spans="1:28" x14ac:dyDescent="0.25">
      <c r="B7" s="70" t="s">
        <v>10</v>
      </c>
      <c r="C7" s="200" t="str">
        <f>IF(Subject_Info!B3="","",Subject_Info!B3)</f>
        <v/>
      </c>
      <c r="D7" s="200"/>
      <c r="E7" s="200"/>
      <c r="F7" s="200"/>
      <c r="G7" s="200"/>
      <c r="H7" s="200"/>
      <c r="I7" s="201" t="s">
        <v>11</v>
      </c>
      <c r="J7" s="201"/>
      <c r="K7" s="201"/>
      <c r="L7" s="201"/>
      <c r="M7" s="202" t="str">
        <f>IF(Subject_Info!B6="","",Subject_Info!B6)</f>
        <v/>
      </c>
      <c r="N7" s="202"/>
      <c r="O7" s="202"/>
      <c r="P7" s="202"/>
      <c r="Q7" s="202"/>
      <c r="R7" s="203"/>
      <c r="S7" s="203"/>
      <c r="T7" s="203"/>
      <c r="U7" s="203"/>
      <c r="V7" s="203"/>
      <c r="W7" s="203"/>
      <c r="X7" s="70" t="s">
        <v>12</v>
      </c>
      <c r="AB7" s="89">
        <f>COUNTIF(AB12:AB37,"Dropped")</f>
        <v>0</v>
      </c>
    </row>
    <row r="8" spans="1:28" ht="17.25" thickBot="1" x14ac:dyDescent="0.3">
      <c r="A8" s="172" t="s">
        <v>13</v>
      </c>
      <c r="B8" s="172"/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2"/>
      <c r="AB8" s="172"/>
    </row>
    <row r="9" spans="1:28" s="77" customFormat="1" ht="15" x14ac:dyDescent="0.25">
      <c r="A9" s="187" t="s">
        <v>14</v>
      </c>
      <c r="B9" s="76" t="s">
        <v>15</v>
      </c>
      <c r="C9" s="190" t="s">
        <v>16</v>
      </c>
      <c r="D9" s="191"/>
      <c r="E9" s="191"/>
      <c r="F9" s="191"/>
      <c r="G9" s="191"/>
      <c r="H9" s="192" t="s">
        <v>17</v>
      </c>
      <c r="I9" s="193"/>
      <c r="J9" s="193"/>
      <c r="K9" s="193"/>
      <c r="L9" s="193"/>
      <c r="M9" s="194"/>
      <c r="N9" s="195" t="s">
        <v>18</v>
      </c>
      <c r="O9" s="196"/>
      <c r="P9" s="196"/>
      <c r="Q9" s="196"/>
      <c r="R9" s="197"/>
      <c r="S9" s="198" t="s">
        <v>17</v>
      </c>
      <c r="T9" s="198"/>
      <c r="U9" s="198"/>
      <c r="V9" s="198"/>
      <c r="W9" s="198"/>
      <c r="X9" s="199"/>
      <c r="Y9" s="186" t="s">
        <v>19</v>
      </c>
      <c r="Z9" s="186"/>
      <c r="AA9" s="214" t="s">
        <v>42</v>
      </c>
      <c r="AB9" s="179" t="s">
        <v>21</v>
      </c>
    </row>
    <row r="10" spans="1:28" x14ac:dyDescent="0.35">
      <c r="A10" s="188"/>
      <c r="B10" s="56" t="s">
        <v>22</v>
      </c>
      <c r="C10" s="57" t="str">
        <f>IF(Record!U3="","",Record!U3)</f>
        <v/>
      </c>
      <c r="D10" s="58" t="str">
        <f>IF(Record!V3="","",Record!V3)</f>
        <v/>
      </c>
      <c r="E10" s="59" t="str">
        <f>IF(Record!W3="","",Record!W3)</f>
        <v/>
      </c>
      <c r="F10" s="58" t="str">
        <f>IF(Record!X3="","",Record!X3)</f>
        <v/>
      </c>
      <c r="G10" s="60" t="str">
        <f>IF(Record!Y3="","",Record!Y3)</f>
        <v/>
      </c>
      <c r="H10" s="182" t="s">
        <v>23</v>
      </c>
      <c r="I10" s="182" t="s">
        <v>24</v>
      </c>
      <c r="J10" s="182" t="s">
        <v>25</v>
      </c>
      <c r="K10" s="182" t="s">
        <v>26</v>
      </c>
      <c r="L10" s="182" t="s">
        <v>27</v>
      </c>
      <c r="M10" s="173" t="s">
        <v>28</v>
      </c>
      <c r="N10" s="60" t="str">
        <f>IF(Record!Z3="","",Record!Z3)</f>
        <v/>
      </c>
      <c r="O10" s="61" t="str">
        <f>IF(Record!AA3="","",Record!AA3)</f>
        <v/>
      </c>
      <c r="P10" s="61" t="str">
        <f>IF(Record!AB3="","",Record!AB3)</f>
        <v/>
      </c>
      <c r="Q10" s="61" t="str">
        <f>IF(Record!AC3="","",Record!AC3)</f>
        <v/>
      </c>
      <c r="R10" s="62" t="str">
        <f>IF(Record!AD3="","",Record!AD3)</f>
        <v/>
      </c>
      <c r="S10" s="184" t="s">
        <v>29</v>
      </c>
      <c r="T10" s="184" t="s">
        <v>30</v>
      </c>
      <c r="U10" s="184" t="s">
        <v>31</v>
      </c>
      <c r="V10" s="184" t="s">
        <v>32</v>
      </c>
      <c r="W10" s="184" t="s">
        <v>33</v>
      </c>
      <c r="X10" s="173" t="s">
        <v>28</v>
      </c>
      <c r="Y10" s="175" t="str">
        <f>IF(Record!AE3="","",Record!AE3)</f>
        <v/>
      </c>
      <c r="Z10" s="175" t="str">
        <f>IF(Record!Z3="","",Record!Z3)</f>
        <v/>
      </c>
      <c r="AA10" s="215"/>
      <c r="AB10" s="180"/>
    </row>
    <row r="11" spans="1:28" s="81" customFormat="1" ht="15.75" thickBot="1" x14ac:dyDescent="0.4">
      <c r="A11" s="189"/>
      <c r="B11" s="111" t="s">
        <v>59</v>
      </c>
      <c r="C11" s="112">
        <f>IF(Record!U4="","",Record!U4)</f>
        <v>10</v>
      </c>
      <c r="D11" s="63">
        <f>IF(Record!V4="","",Record!V4)</f>
        <v>15</v>
      </c>
      <c r="E11" s="113">
        <f>IF(Record!W4="","",Record!W4)</f>
        <v>10</v>
      </c>
      <c r="F11" s="63" t="str">
        <f>IF(Record!X4="","",Record!X4)</f>
        <v/>
      </c>
      <c r="G11" s="114" t="str">
        <f>IF(Record!Y4="","",Record!Y4)</f>
        <v/>
      </c>
      <c r="H11" s="183"/>
      <c r="I11" s="183"/>
      <c r="J11" s="183"/>
      <c r="K11" s="183"/>
      <c r="L11" s="183"/>
      <c r="M11" s="174"/>
      <c r="N11" s="114">
        <f>IF(Record!Z4="","",Record!Z4)</f>
        <v>10</v>
      </c>
      <c r="O11" s="63">
        <f>IF(Record!AA4="","",Record!AA4)</f>
        <v>10</v>
      </c>
      <c r="P11" s="63">
        <f>IF(Record!AB4="","",Record!AB4)</f>
        <v>10</v>
      </c>
      <c r="Q11" s="63">
        <f>IF(Record!AC4="","",Record!AC4)</f>
        <v>10</v>
      </c>
      <c r="R11" s="115" t="str">
        <f>IF(Record!AD4="","",Record!AD4)</f>
        <v/>
      </c>
      <c r="S11" s="185"/>
      <c r="T11" s="185"/>
      <c r="U11" s="185"/>
      <c r="V11" s="185"/>
      <c r="W11" s="185"/>
      <c r="X11" s="174"/>
      <c r="Y11" s="114">
        <f>IF(Record!AE4="","",Record!AE4)</f>
        <v>35</v>
      </c>
      <c r="Z11" s="115" t="s">
        <v>34</v>
      </c>
      <c r="AA11" s="216"/>
      <c r="AB11" s="181"/>
    </row>
    <row r="12" spans="1:28" ht="16.5" customHeight="1" x14ac:dyDescent="0.25">
      <c r="A12" s="102" t="str">
        <f>IF(Record!A5="","",Record!A5)</f>
        <v/>
      </c>
      <c r="B12" s="118" t="str">
        <f>IF(UPPER(Record!B5)="","",UPPER(Record!B5))</f>
        <v/>
      </c>
      <c r="C12" s="103" t="str">
        <f>IF(Record!U5="","",Record!U5)</f>
        <v/>
      </c>
      <c r="D12" s="104" t="str">
        <f>IF(Record!V5="","",Record!V5)</f>
        <v/>
      </c>
      <c r="E12" s="104" t="str">
        <f>IF(Record!W5="","",Record!W5)</f>
        <v/>
      </c>
      <c r="F12" s="104" t="str">
        <f>IF(Record!X5="","",Record!X5)</f>
        <v/>
      </c>
      <c r="G12" s="105" t="str">
        <f>IF(Record!Y5="","",Record!Y5)</f>
        <v/>
      </c>
      <c r="H12" s="106" t="str">
        <f t="shared" ref="H12:H16" si="0">IF(C12="","",(C12/$C$11)*50+50)</f>
        <v/>
      </c>
      <c r="I12" s="106" t="str">
        <f t="shared" ref="I12:I16" si="1">IF(D12="","",(D12/$D$11)*50+50)</f>
        <v/>
      </c>
      <c r="J12" s="106" t="str">
        <f t="shared" ref="J12:J16" si="2">IF(E12="","",(E12/$E$11)*50+50)</f>
        <v/>
      </c>
      <c r="K12" s="106" t="str">
        <f t="shared" ref="K12:K16" si="3">IF(F12="","",(F12/$F$11)*50+50)</f>
        <v/>
      </c>
      <c r="L12" s="106" t="str">
        <f t="shared" ref="L12:L16" si="4">IF(G12="","",(G12/$G$11)*50+50)</f>
        <v/>
      </c>
      <c r="M12" s="107" t="str">
        <f t="shared" ref="M12:M16" si="5">IFERROR(AVERAGE(H12:L12),"")</f>
        <v/>
      </c>
      <c r="N12" s="103" t="str">
        <f>IF(Record!Z5="","",Record!Z5)</f>
        <v/>
      </c>
      <c r="O12" s="104" t="str">
        <f>IF(Record!AA5="","",Record!AA5)</f>
        <v/>
      </c>
      <c r="P12" s="104" t="str">
        <f>IF(Record!AB5="","",Record!AB5)</f>
        <v/>
      </c>
      <c r="Q12" s="104" t="str">
        <f>IF(Record!AC5="","",Record!AC5)</f>
        <v/>
      </c>
      <c r="R12" s="110" t="str">
        <f>IF(Record!AD5="","",Record!AD5)</f>
        <v/>
      </c>
      <c r="S12" s="106" t="str">
        <f t="shared" ref="S12:S16" si="6">IF(N12="","",(N12/$N$11)*50+50)</f>
        <v/>
      </c>
      <c r="T12" s="106" t="str">
        <f t="shared" ref="T12:T16" si="7">IF(O12="","",(O12/$O$11)*50+50)</f>
        <v/>
      </c>
      <c r="U12" s="106" t="str">
        <f t="shared" ref="U12:U16" si="8">IF(P12="","",(P12/$P$11)*50+50)</f>
        <v/>
      </c>
      <c r="V12" s="106" t="str">
        <f t="shared" ref="V12:V16" si="9">IF(Q12="","",(Q12/$Q$11)*50+50)</f>
        <v/>
      </c>
      <c r="W12" s="106" t="str">
        <f t="shared" ref="W12:W16" si="10">IF(R12="","",(R12/$R$11)*50+50)</f>
        <v/>
      </c>
      <c r="X12" s="107" t="str">
        <f t="shared" ref="X12:X16" si="11">IFERROR(AVERAGE(S12:W12),"")</f>
        <v/>
      </c>
      <c r="Y12" s="103" t="str">
        <f>IF(Record!AE5="","",Record!AE5)</f>
        <v/>
      </c>
      <c r="Z12" s="107" t="str">
        <f t="shared" ref="Z12:Z16" si="12">IF(Y12="","",(Y12/$Y$11)*50+50)</f>
        <v/>
      </c>
      <c r="AA12" s="101" t="str">
        <f t="shared" ref="AA12:AA16" si="13">IFERROR((M12*0.4+X12*0.2+Z12*0.4),"")</f>
        <v/>
      </c>
      <c r="AB12" s="108" t="str">
        <f t="shared" ref="AB12:AB16" si="14">IF(AA12="","", IF(AA12="-","Dropped",IF(AA12&gt;=74.5,"Passed","Failed")))</f>
        <v/>
      </c>
    </row>
    <row r="13" spans="1:28" ht="16.5" customHeight="1" x14ac:dyDescent="0.25">
      <c r="A13" s="64">
        <f>IF(Record!A6="","",Record!A6)</f>
        <v>1</v>
      </c>
      <c r="B13" s="65" t="str">
        <f>IF(UPPER(Record!B6)="","",UPPER(Record!B6))</f>
        <v>STUDENT_1</v>
      </c>
      <c r="C13" s="66">
        <f>IF(Record!U6="","",Record!U6)</f>
        <v>8</v>
      </c>
      <c r="D13" s="67">
        <f>IF(Record!V6="","",Record!V6)</f>
        <v>10</v>
      </c>
      <c r="E13" s="67">
        <f>IF(Record!W6="","",Record!W6)</f>
        <v>10</v>
      </c>
      <c r="F13" s="67" t="str">
        <f>IF(Record!X6="","",Record!X6)</f>
        <v/>
      </c>
      <c r="G13" s="68" t="str">
        <f>IF(Record!Y6="","",Record!Y6)</f>
        <v/>
      </c>
      <c r="H13" s="6">
        <f t="shared" si="0"/>
        <v>90</v>
      </c>
      <c r="I13" s="6">
        <f t="shared" si="1"/>
        <v>83.333333333333329</v>
      </c>
      <c r="J13" s="6">
        <f t="shared" si="2"/>
        <v>100</v>
      </c>
      <c r="K13" s="6" t="str">
        <f t="shared" si="3"/>
        <v/>
      </c>
      <c r="L13" s="6" t="str">
        <f t="shared" si="4"/>
        <v/>
      </c>
      <c r="M13" s="7">
        <f t="shared" si="5"/>
        <v>91.1111111111111</v>
      </c>
      <c r="N13" s="66">
        <f>IF(Record!Z6="","",Record!Z6)</f>
        <v>0</v>
      </c>
      <c r="O13" s="67">
        <f>IF(Record!AA6="","",Record!AA6)</f>
        <v>7</v>
      </c>
      <c r="P13" s="67">
        <f>IF(Record!AB6="","",Record!AB6)</f>
        <v>10</v>
      </c>
      <c r="Q13" s="67">
        <f>IF(Record!AC6="","",Record!AC6)</f>
        <v>10</v>
      </c>
      <c r="R13" s="69" t="str">
        <f>IF(Record!AD6="","",Record!AD6)</f>
        <v/>
      </c>
      <c r="S13" s="6">
        <f t="shared" si="6"/>
        <v>50</v>
      </c>
      <c r="T13" s="6">
        <f>IF(O13="","",(O13/$O$11)*50+50)</f>
        <v>85</v>
      </c>
      <c r="U13" s="6">
        <f t="shared" si="8"/>
        <v>100</v>
      </c>
      <c r="V13" s="6">
        <f t="shared" si="9"/>
        <v>100</v>
      </c>
      <c r="W13" s="6" t="str">
        <f t="shared" si="10"/>
        <v/>
      </c>
      <c r="X13" s="7">
        <f t="shared" si="11"/>
        <v>83.75</v>
      </c>
      <c r="Y13" s="66">
        <f>IF(Record!AE6="","",Record!AE6)</f>
        <v>31</v>
      </c>
      <c r="Z13" s="7">
        <f t="shared" si="12"/>
        <v>94.285714285714278</v>
      </c>
      <c r="AA13" s="55">
        <f t="shared" si="13"/>
        <v>90.908730158730151</v>
      </c>
      <c r="AB13" s="8" t="str">
        <f t="shared" si="14"/>
        <v>Passed</v>
      </c>
    </row>
    <row r="14" spans="1:28" ht="16.5" customHeight="1" x14ac:dyDescent="0.25">
      <c r="A14" s="64">
        <f>IF(Record!A7="","",Record!A7)</f>
        <v>2</v>
      </c>
      <c r="B14" s="65" t="str">
        <f>IF(UPPER(Record!B7)="","",UPPER(Record!B7))</f>
        <v>STUDENT_2</v>
      </c>
      <c r="C14" s="66">
        <f>IF(Record!U7="","",Record!U7)</f>
        <v>10</v>
      </c>
      <c r="D14" s="67">
        <f>IF(Record!V7="","",Record!V7)</f>
        <v>11</v>
      </c>
      <c r="E14" s="67">
        <f>IF(Record!W7="","",Record!W7)</f>
        <v>10</v>
      </c>
      <c r="F14" s="67" t="str">
        <f>IF(Record!X7="","",Record!X7)</f>
        <v/>
      </c>
      <c r="G14" s="68" t="str">
        <f>IF(Record!Y7="","",Record!Y7)</f>
        <v/>
      </c>
      <c r="H14" s="6">
        <f t="shared" ref="H14" si="15">IF(C14="","",(C14/$C$11)*50+50)</f>
        <v>100</v>
      </c>
      <c r="I14" s="6">
        <f t="shared" ref="I14" si="16">IF(D14="","",(D14/$D$11)*50+50)</f>
        <v>86.666666666666657</v>
      </c>
      <c r="J14" s="6">
        <f t="shared" ref="J14" si="17">IF(E14="","",(E14/$E$11)*50+50)</f>
        <v>100</v>
      </c>
      <c r="K14" s="6" t="str">
        <f t="shared" ref="K14" si="18">IF(F14="","",(F14/$F$11)*50+50)</f>
        <v/>
      </c>
      <c r="L14" s="6" t="str">
        <f t="shared" ref="L14" si="19">IF(G14="","",(G14/$G$11)*50+50)</f>
        <v/>
      </c>
      <c r="M14" s="7">
        <f t="shared" ref="M14" si="20">IFERROR(AVERAGE(H14:L14),"")</f>
        <v>95.555555555555543</v>
      </c>
      <c r="N14" s="66">
        <f>IF(Record!Z7="","",Record!Z7)</f>
        <v>8</v>
      </c>
      <c r="O14" s="67">
        <f>IF(Record!AA7="","",Record!AA7)</f>
        <v>7</v>
      </c>
      <c r="P14" s="67">
        <f>IF(Record!AB7="","",Record!AB7)</f>
        <v>7</v>
      </c>
      <c r="Q14" s="67">
        <f>IF(Record!AC7="","",Record!AC7)</f>
        <v>7</v>
      </c>
      <c r="R14" s="69" t="str">
        <f>IF(Record!AD7="","",Record!AD7)</f>
        <v/>
      </c>
      <c r="S14" s="6">
        <f t="shared" ref="S14" si="21">IF(N14="","",(N14/$N$11)*50+50)</f>
        <v>90</v>
      </c>
      <c r="T14" s="6">
        <f t="shared" ref="T14" si="22">IF(O14="","",(O14/$O$11)*50+50)</f>
        <v>85</v>
      </c>
      <c r="U14" s="6">
        <f t="shared" ref="U14" si="23">IF(P14="","",(P14/$P$11)*50+50)</f>
        <v>85</v>
      </c>
      <c r="V14" s="6">
        <f t="shared" ref="V14" si="24">IF(Q14="","",(Q14/$Q$11)*50+50)</f>
        <v>85</v>
      </c>
      <c r="W14" s="6" t="str">
        <f t="shared" ref="W14" si="25">IF(R14="","",(R14/$R$11)*50+50)</f>
        <v/>
      </c>
      <c r="X14" s="7">
        <f t="shared" ref="X14" si="26">IFERROR(AVERAGE(S14:W14),"")</f>
        <v>86.25</v>
      </c>
      <c r="Y14" s="66">
        <f>IF(Record!AE7="","",Record!AE7)</f>
        <v>27</v>
      </c>
      <c r="Z14" s="7">
        <f t="shared" ref="Z14" si="27">IF(Y14="","",(Y14/$Y$11)*50+50)</f>
        <v>88.571428571428584</v>
      </c>
      <c r="AA14" s="55">
        <f t="shared" ref="AA14" si="28">IFERROR((M14*0.4+X14*0.2+Z14*0.4),"")</f>
        <v>90.900793650793659</v>
      </c>
      <c r="AB14" s="8" t="str">
        <f t="shared" ref="AB14" si="29">IF(AA14="","", IF(AA14="-","Dropped",IF(AA14&gt;=74.5,"Passed","Failed")))</f>
        <v>Passed</v>
      </c>
    </row>
    <row r="15" spans="1:28" ht="16.5" customHeight="1" x14ac:dyDescent="0.25">
      <c r="A15" s="64">
        <f>IF(Record!A8="","",Record!A8)</f>
        <v>3</v>
      </c>
      <c r="B15" s="65" t="str">
        <f>IF(UPPER(Record!B8)="","",UPPER(Record!B8))</f>
        <v>STUDENT_3</v>
      </c>
      <c r="C15" s="66">
        <f>IF(Record!U8="","",Record!U8)</f>
        <v>9</v>
      </c>
      <c r="D15" s="67">
        <f>IF(Record!V8="","",Record!V8)</f>
        <v>8</v>
      </c>
      <c r="E15" s="67">
        <f>IF(Record!W8="","",Record!W8)</f>
        <v>10</v>
      </c>
      <c r="F15" s="67" t="str">
        <f>IF(Record!X8="","",Record!X8)</f>
        <v/>
      </c>
      <c r="G15" s="68" t="str">
        <f>IF(Record!Y8="","",Record!Y8)</f>
        <v/>
      </c>
      <c r="H15" s="6">
        <f t="shared" si="0"/>
        <v>95</v>
      </c>
      <c r="I15" s="6">
        <f t="shared" si="1"/>
        <v>76.666666666666671</v>
      </c>
      <c r="J15" s="6">
        <f t="shared" si="2"/>
        <v>100</v>
      </c>
      <c r="K15" s="6" t="str">
        <f t="shared" si="3"/>
        <v/>
      </c>
      <c r="L15" s="6" t="str">
        <f t="shared" si="4"/>
        <v/>
      </c>
      <c r="M15" s="7">
        <f t="shared" si="5"/>
        <v>90.555555555555557</v>
      </c>
      <c r="N15" s="66">
        <f>IF(Record!Z8="","",Record!Z8)</f>
        <v>8</v>
      </c>
      <c r="O15" s="67">
        <f>IF(Record!AA8="","",Record!AA8)</f>
        <v>7</v>
      </c>
      <c r="P15" s="67">
        <f>IF(Record!AB8="","",Record!AB8)</f>
        <v>6</v>
      </c>
      <c r="Q15" s="67">
        <f>IF(Record!AC8="","",Record!AC8)</f>
        <v>6</v>
      </c>
      <c r="R15" s="69" t="str">
        <f>IF(Record!AD8="","",Record!AD8)</f>
        <v/>
      </c>
      <c r="S15" s="6">
        <f t="shared" si="6"/>
        <v>90</v>
      </c>
      <c r="T15" s="6">
        <f t="shared" si="7"/>
        <v>85</v>
      </c>
      <c r="U15" s="6">
        <f t="shared" si="8"/>
        <v>80</v>
      </c>
      <c r="V15" s="6">
        <f t="shared" si="9"/>
        <v>80</v>
      </c>
      <c r="W15" s="6" t="str">
        <f t="shared" si="10"/>
        <v/>
      </c>
      <c r="X15" s="7">
        <f t="shared" si="11"/>
        <v>83.75</v>
      </c>
      <c r="Y15" s="66">
        <f>IF(Record!AE8="","",Record!AE8)</f>
        <v>21</v>
      </c>
      <c r="Z15" s="7">
        <f t="shared" si="12"/>
        <v>80</v>
      </c>
      <c r="AA15" s="55">
        <f t="shared" si="13"/>
        <v>84.972222222222229</v>
      </c>
      <c r="AB15" s="8" t="str">
        <f t="shared" si="14"/>
        <v>Passed</v>
      </c>
    </row>
    <row r="16" spans="1:28" ht="16.5" customHeight="1" x14ac:dyDescent="0.25">
      <c r="A16" s="64">
        <f>IF(Record!A9="","",Record!A9)</f>
        <v>4</v>
      </c>
      <c r="B16" s="65" t="str">
        <f>IF(UPPER(Record!B9)="","",UPPER(Record!B9))</f>
        <v>STUDENT_4</v>
      </c>
      <c r="C16" s="66">
        <f>IF(Record!U9="","",Record!U9)</f>
        <v>9</v>
      </c>
      <c r="D16" s="67">
        <f>IF(Record!V9="","",Record!V9)</f>
        <v>8</v>
      </c>
      <c r="E16" s="67">
        <f>IF(Record!W9="","",Record!W9)</f>
        <v>10</v>
      </c>
      <c r="F16" s="67" t="str">
        <f>IF(Record!X9="","",Record!X9)</f>
        <v/>
      </c>
      <c r="G16" s="68" t="str">
        <f>IF(Record!Y9="","",Record!Y9)</f>
        <v/>
      </c>
      <c r="H16" s="6">
        <f t="shared" si="0"/>
        <v>95</v>
      </c>
      <c r="I16" s="6">
        <f t="shared" si="1"/>
        <v>76.666666666666671</v>
      </c>
      <c r="J16" s="6">
        <f t="shared" si="2"/>
        <v>100</v>
      </c>
      <c r="K16" s="6" t="str">
        <f t="shared" si="3"/>
        <v/>
      </c>
      <c r="L16" s="6" t="str">
        <f t="shared" si="4"/>
        <v/>
      </c>
      <c r="M16" s="7">
        <f t="shared" si="5"/>
        <v>90.555555555555557</v>
      </c>
      <c r="N16" s="66">
        <f>IF(Record!Z9="","",Record!Z9)</f>
        <v>9</v>
      </c>
      <c r="O16" s="67">
        <f>IF(Record!AA9="","",Record!AA9)</f>
        <v>9</v>
      </c>
      <c r="P16" s="67">
        <f>IF(Record!AB9="","",Record!AB9)</f>
        <v>10</v>
      </c>
      <c r="Q16" s="67">
        <f>IF(Record!AC9="","",Record!AC9)</f>
        <v>5</v>
      </c>
      <c r="R16" s="69" t="str">
        <f>IF(Record!AD9="","",Record!AD9)</f>
        <v/>
      </c>
      <c r="S16" s="6">
        <f t="shared" si="6"/>
        <v>95</v>
      </c>
      <c r="T16" s="6">
        <f t="shared" si="7"/>
        <v>95</v>
      </c>
      <c r="U16" s="6">
        <f t="shared" si="8"/>
        <v>100</v>
      </c>
      <c r="V16" s="6">
        <f t="shared" si="9"/>
        <v>75</v>
      </c>
      <c r="W16" s="6" t="str">
        <f t="shared" si="10"/>
        <v/>
      </c>
      <c r="X16" s="7">
        <f t="shared" si="11"/>
        <v>91.25</v>
      </c>
      <c r="Y16" s="66">
        <f>IF(Record!AE9="","",Record!AE9)</f>
        <v>33</v>
      </c>
      <c r="Z16" s="7">
        <f t="shared" si="12"/>
        <v>97.142857142857139</v>
      </c>
      <c r="AA16" s="55">
        <f t="shared" si="13"/>
        <v>93.32936507936509</v>
      </c>
      <c r="AB16" s="8" t="str">
        <f t="shared" si="14"/>
        <v>Passed</v>
      </c>
    </row>
    <row r="17" spans="1:28" ht="16.5" customHeight="1" x14ac:dyDescent="0.25">
      <c r="A17" s="64">
        <f>IF(Record!A10="","",Record!A10)</f>
        <v>5</v>
      </c>
      <c r="B17" s="65" t="str">
        <f>IF(UPPER(Record!B10)="","",UPPER(Record!B10))</f>
        <v>STUDENT_5</v>
      </c>
      <c r="C17" s="66">
        <f>IF(Record!U10="","",Record!U10)</f>
        <v>7</v>
      </c>
      <c r="D17" s="67">
        <f>IF(Record!V10="","",Record!V10)</f>
        <v>11</v>
      </c>
      <c r="E17" s="67">
        <f>IF(Record!W10="","",Record!W10)</f>
        <v>10</v>
      </c>
      <c r="F17" s="67" t="str">
        <f>IF(Record!X10="","",Record!X10)</f>
        <v/>
      </c>
      <c r="G17" s="68" t="str">
        <f>IF(Record!Y10="","",Record!Y10)</f>
        <v/>
      </c>
      <c r="H17" s="6">
        <f t="shared" ref="H17" si="30">IF(C17="","",(C17/$C$11)*50+50)</f>
        <v>85</v>
      </c>
      <c r="I17" s="6">
        <f t="shared" ref="I17" si="31">IF(D17="","",(D17/$D$11)*50+50)</f>
        <v>86.666666666666657</v>
      </c>
      <c r="J17" s="6">
        <f t="shared" ref="J17" si="32">IF(E17="","",(E17/$E$11)*50+50)</f>
        <v>100</v>
      </c>
      <c r="K17" s="6" t="str">
        <f t="shared" ref="K17" si="33">IF(F17="","",(F17/$F$11)*50+50)</f>
        <v/>
      </c>
      <c r="L17" s="6" t="str">
        <f t="shared" ref="L17" si="34">IF(G17="","",(G17/$G$11)*50+50)</f>
        <v/>
      </c>
      <c r="M17" s="7">
        <f t="shared" ref="M17" si="35">IFERROR(AVERAGE(H17:L17),"")</f>
        <v>90.555555555555543</v>
      </c>
      <c r="N17" s="66">
        <f>IF(Record!Z10="","",Record!Z10)</f>
        <v>6</v>
      </c>
      <c r="O17" s="67">
        <f>IF(Record!AA10="","",Record!AA10)</f>
        <v>6</v>
      </c>
      <c r="P17" s="67">
        <f>IF(Record!AB10="","",Record!AB10)</f>
        <v>8</v>
      </c>
      <c r="Q17" s="67">
        <f>IF(Record!AC10="","",Record!AC10)</f>
        <v>10</v>
      </c>
      <c r="R17" s="69" t="str">
        <f>IF(Record!AD10="","",Record!AD10)</f>
        <v/>
      </c>
      <c r="S17" s="6">
        <f t="shared" ref="S17" si="36">IF(N17="","",(N17/$N$11)*50+50)</f>
        <v>80</v>
      </c>
      <c r="T17" s="6">
        <f>IF(O17="","",(O17/$O$11)*50+50)</f>
        <v>80</v>
      </c>
      <c r="U17" s="6">
        <f t="shared" ref="U17" si="37">IF(P17="","",(P17/$P$11)*50+50)</f>
        <v>90</v>
      </c>
      <c r="V17" s="6">
        <f t="shared" ref="V17" si="38">IF(Q17="","",(Q17/$Q$11)*50+50)</f>
        <v>100</v>
      </c>
      <c r="W17" s="6" t="str">
        <f t="shared" ref="W17" si="39">IF(R17="","",(R17/$R$11)*50+50)</f>
        <v/>
      </c>
      <c r="X17" s="7">
        <f t="shared" ref="X17" si="40">IFERROR(AVERAGE(S17:W17),"")</f>
        <v>87.5</v>
      </c>
      <c r="Y17" s="66">
        <f>IF(Record!AE10="","",Record!AE10)</f>
        <v>32</v>
      </c>
      <c r="Z17" s="7">
        <f t="shared" ref="Z17" si="41">IF(Y17="","",(Y17/$Y$11)*50+50)</f>
        <v>95.714285714285722</v>
      </c>
      <c r="AA17" s="55">
        <f t="shared" ref="AA17" si="42">IFERROR((M17*0.4+X17*0.2+Z17*0.4),"")</f>
        <v>92.007936507936506</v>
      </c>
      <c r="AB17" s="8" t="str">
        <f t="shared" ref="AB17" si="43">IF(AA17="","", IF(AA17="-","Dropped",IF(AA17&gt;=74.5,"Passed","Failed")))</f>
        <v>Passed</v>
      </c>
    </row>
    <row r="18" spans="1:28" ht="16.5" customHeight="1" x14ac:dyDescent="0.25">
      <c r="A18" s="64">
        <f>IF(Record!A11="","",Record!A11)</f>
        <v>6</v>
      </c>
      <c r="B18" s="65" t="str">
        <f>IF(UPPER(Record!B11)="","",UPPER(Record!B11))</f>
        <v>STUDENT_6</v>
      </c>
      <c r="C18" s="66">
        <f>IF(Record!U11="","",Record!U11)</f>
        <v>4</v>
      </c>
      <c r="D18" s="67">
        <f>IF(Record!V11="","",Record!V11)</f>
        <v>6</v>
      </c>
      <c r="E18" s="67">
        <f>IF(Record!W11="","",Record!W11)</f>
        <v>10</v>
      </c>
      <c r="F18" s="67" t="str">
        <f>IF(Record!X11="","",Record!X11)</f>
        <v/>
      </c>
      <c r="G18" s="68" t="str">
        <f>IF(Record!Y11="","",Record!Y11)</f>
        <v/>
      </c>
      <c r="H18" s="6">
        <f t="shared" ref="H18:H22" si="44">IF(C18="","",(C18/$C$11)*50+50)</f>
        <v>70</v>
      </c>
      <c r="I18" s="6">
        <f t="shared" ref="I18:I22" si="45">IF(D18="","",(D18/$D$11)*50+50)</f>
        <v>70</v>
      </c>
      <c r="J18" s="6">
        <f t="shared" ref="J18:J22" si="46">IF(E18="","",(E18/$E$11)*50+50)</f>
        <v>100</v>
      </c>
      <c r="K18" s="6" t="str">
        <f t="shared" ref="K18:K22" si="47">IF(F18="","",(F18/$F$11)*50+50)</f>
        <v/>
      </c>
      <c r="L18" s="6" t="str">
        <f t="shared" ref="L18:L22" si="48">IF(G18="","",(G18/$G$11)*50+50)</f>
        <v/>
      </c>
      <c r="M18" s="7">
        <f t="shared" ref="M18:M22" si="49">IFERROR(AVERAGE(H18:L18),"")</f>
        <v>80</v>
      </c>
      <c r="N18" s="66">
        <f>IF(Record!Z11="","",Record!Z11)</f>
        <v>7</v>
      </c>
      <c r="O18" s="67">
        <f>IF(Record!AA11="","",Record!AA11)</f>
        <v>8</v>
      </c>
      <c r="P18" s="67">
        <f>IF(Record!AB11="","",Record!AB11)</f>
        <v>7</v>
      </c>
      <c r="Q18" s="67">
        <f>IF(Record!AC11="","",Record!AC11)</f>
        <v>5</v>
      </c>
      <c r="R18" s="69" t="str">
        <f>IF(Record!AD11="","",Record!AD11)</f>
        <v/>
      </c>
      <c r="S18" s="6">
        <f t="shared" ref="S18:S22" si="50">IF(N18="","",(N18/$N$11)*50+50)</f>
        <v>85</v>
      </c>
      <c r="T18" s="6">
        <f t="shared" ref="T18:T22" si="51">IF(O18="","",(O18/$O$11)*50+50)</f>
        <v>90</v>
      </c>
      <c r="U18" s="6">
        <f t="shared" ref="U18:U22" si="52">IF(P18="","",(P18/$P$11)*50+50)</f>
        <v>85</v>
      </c>
      <c r="V18" s="6">
        <f t="shared" ref="V18:V22" si="53">IF(Q18="","",(Q18/$Q$11)*50+50)</f>
        <v>75</v>
      </c>
      <c r="W18" s="6" t="str">
        <f t="shared" ref="W18:W22" si="54">IF(R18="","",(R18/$R$11)*50+50)</f>
        <v/>
      </c>
      <c r="X18" s="7">
        <f t="shared" ref="X18:X22" si="55">IFERROR(AVERAGE(S18:W18),"")</f>
        <v>83.75</v>
      </c>
      <c r="Y18" s="66">
        <f>IF(Record!AE11="","",Record!AE11)</f>
        <v>23</v>
      </c>
      <c r="Z18" s="7">
        <f t="shared" ref="Z18:Z22" si="56">IF(Y18="","",(Y18/$Y$11)*50+50)</f>
        <v>82.857142857142861</v>
      </c>
      <c r="AA18" s="55">
        <f t="shared" ref="AA18:AA22" si="57">IFERROR((M18*0.4+X18*0.2+Z18*0.4),"")</f>
        <v>81.892857142857139</v>
      </c>
      <c r="AB18" s="8" t="str">
        <f t="shared" ref="AB18:AB22" si="58">IF(AA18="","", IF(AA18="-","Dropped",IF(AA18&gt;=74.5,"Passed","Failed")))</f>
        <v>Passed</v>
      </c>
    </row>
    <row r="19" spans="1:28" ht="16.5" customHeight="1" x14ac:dyDescent="0.25">
      <c r="A19" s="64">
        <f>IF(Record!A12="","",Record!A12)</f>
        <v>7</v>
      </c>
      <c r="B19" s="65" t="str">
        <f>IF(UPPER(Record!B12)="","",UPPER(Record!B12))</f>
        <v>STUDENT_7</v>
      </c>
      <c r="C19" s="66">
        <f>IF(Record!U12="","",Record!U12)</f>
        <v>8</v>
      </c>
      <c r="D19" s="67">
        <f>IF(Record!V12="","",Record!V12)</f>
        <v>8</v>
      </c>
      <c r="E19" s="67">
        <f>IF(Record!W12="","",Record!W12)</f>
        <v>10</v>
      </c>
      <c r="F19" s="67" t="str">
        <f>IF(Record!X12="","",Record!X12)</f>
        <v/>
      </c>
      <c r="G19" s="68" t="str">
        <f>IF(Record!Y12="","",Record!Y12)</f>
        <v/>
      </c>
      <c r="H19" s="6">
        <f t="shared" si="44"/>
        <v>90</v>
      </c>
      <c r="I19" s="6">
        <f t="shared" si="45"/>
        <v>76.666666666666671</v>
      </c>
      <c r="J19" s="6">
        <f t="shared" si="46"/>
        <v>100</v>
      </c>
      <c r="K19" s="6" t="str">
        <f t="shared" si="47"/>
        <v/>
      </c>
      <c r="L19" s="6" t="str">
        <f t="shared" si="48"/>
        <v/>
      </c>
      <c r="M19" s="7">
        <f t="shared" si="49"/>
        <v>88.8888888888889</v>
      </c>
      <c r="N19" s="66">
        <f>IF(Record!Z12="","",Record!Z12)</f>
        <v>10</v>
      </c>
      <c r="O19" s="67">
        <f>IF(Record!AA12="","",Record!AA12)</f>
        <v>9</v>
      </c>
      <c r="P19" s="67">
        <f>IF(Record!AB12="","",Record!AB12)</f>
        <v>8</v>
      </c>
      <c r="Q19" s="67">
        <f>IF(Record!AC12="","",Record!AC12)</f>
        <v>8</v>
      </c>
      <c r="R19" s="69" t="str">
        <f>IF(Record!AD12="","",Record!AD12)</f>
        <v/>
      </c>
      <c r="S19" s="6">
        <f t="shared" si="50"/>
        <v>100</v>
      </c>
      <c r="T19" s="6">
        <f t="shared" si="51"/>
        <v>95</v>
      </c>
      <c r="U19" s="6">
        <f t="shared" si="52"/>
        <v>90</v>
      </c>
      <c r="V19" s="6">
        <f t="shared" si="53"/>
        <v>90</v>
      </c>
      <c r="W19" s="6" t="str">
        <f t="shared" si="54"/>
        <v/>
      </c>
      <c r="X19" s="7">
        <f t="shared" si="55"/>
        <v>93.75</v>
      </c>
      <c r="Y19" s="66">
        <f>IF(Record!AE12="","",Record!AE12)</f>
        <v>27</v>
      </c>
      <c r="Z19" s="7">
        <f t="shared" si="56"/>
        <v>88.571428571428584</v>
      </c>
      <c r="AA19" s="55">
        <f t="shared" si="57"/>
        <v>89.734126984127002</v>
      </c>
      <c r="AB19" s="8" t="str">
        <f t="shared" si="58"/>
        <v>Passed</v>
      </c>
    </row>
    <row r="20" spans="1:28" ht="16.5" customHeight="1" x14ac:dyDescent="0.25">
      <c r="A20" s="64">
        <f>IF(Record!A13="","",Record!A13)</f>
        <v>8</v>
      </c>
      <c r="B20" s="65" t="str">
        <f>IF(UPPER(Record!B13)="","",UPPER(Record!B13))</f>
        <v>STUDENT_8</v>
      </c>
      <c r="C20" s="66">
        <f>IF(Record!U13="","",Record!U13)</f>
        <v>7</v>
      </c>
      <c r="D20" s="67">
        <f>IF(Record!V13="","",Record!V13)</f>
        <v>13</v>
      </c>
      <c r="E20" s="67">
        <f>IF(Record!W13="","",Record!W13)</f>
        <v>10</v>
      </c>
      <c r="F20" s="67" t="str">
        <f>IF(Record!X13="","",Record!X13)</f>
        <v/>
      </c>
      <c r="G20" s="68" t="str">
        <f>IF(Record!Y13="","",Record!Y13)</f>
        <v/>
      </c>
      <c r="H20" s="6">
        <f t="shared" si="44"/>
        <v>85</v>
      </c>
      <c r="I20" s="6">
        <f t="shared" si="45"/>
        <v>93.333333333333343</v>
      </c>
      <c r="J20" s="6">
        <f t="shared" si="46"/>
        <v>100</v>
      </c>
      <c r="K20" s="6" t="str">
        <f t="shared" si="47"/>
        <v/>
      </c>
      <c r="L20" s="6" t="str">
        <f t="shared" si="48"/>
        <v/>
      </c>
      <c r="M20" s="7">
        <f t="shared" si="49"/>
        <v>92.777777777777786</v>
      </c>
      <c r="N20" s="66">
        <f>IF(Record!Z13="","",Record!Z13)</f>
        <v>10</v>
      </c>
      <c r="O20" s="67">
        <f>IF(Record!AA13="","",Record!AA13)</f>
        <v>7</v>
      </c>
      <c r="P20" s="67">
        <f>IF(Record!AB13="","",Record!AB13)</f>
        <v>10</v>
      </c>
      <c r="Q20" s="67">
        <f>IF(Record!AC13="","",Record!AC13)</f>
        <v>9</v>
      </c>
      <c r="R20" s="69" t="str">
        <f>IF(Record!AD13="","",Record!AD13)</f>
        <v/>
      </c>
      <c r="S20" s="6">
        <f t="shared" si="50"/>
        <v>100</v>
      </c>
      <c r="T20" s="6">
        <f t="shared" si="51"/>
        <v>85</v>
      </c>
      <c r="U20" s="6">
        <f t="shared" si="52"/>
        <v>100</v>
      </c>
      <c r="V20" s="6">
        <f t="shared" si="53"/>
        <v>95</v>
      </c>
      <c r="W20" s="6" t="str">
        <f t="shared" si="54"/>
        <v/>
      </c>
      <c r="X20" s="7">
        <f t="shared" si="55"/>
        <v>95</v>
      </c>
      <c r="Y20" s="66">
        <f>IF(Record!AE13="","",Record!AE13)</f>
        <v>32</v>
      </c>
      <c r="Z20" s="7">
        <f t="shared" si="56"/>
        <v>95.714285714285722</v>
      </c>
      <c r="AA20" s="55">
        <f t="shared" si="57"/>
        <v>94.396825396825406</v>
      </c>
      <c r="AB20" s="8" t="str">
        <f t="shared" si="58"/>
        <v>Passed</v>
      </c>
    </row>
    <row r="21" spans="1:28" ht="16.5" customHeight="1" x14ac:dyDescent="0.25">
      <c r="A21" s="64">
        <f>IF(Record!A14="","",Record!A14)</f>
        <v>9</v>
      </c>
      <c r="B21" s="65" t="str">
        <f>IF(UPPER(Record!B14)="","",UPPER(Record!B14))</f>
        <v>STUDENT_9</v>
      </c>
      <c r="C21" s="66">
        <f>IF(Record!U14="","",Record!U14)</f>
        <v>6</v>
      </c>
      <c r="D21" s="67">
        <f>IF(Record!V14="","",Record!V14)</f>
        <v>7</v>
      </c>
      <c r="E21" s="67">
        <f>IF(Record!W14="","",Record!W14)</f>
        <v>10</v>
      </c>
      <c r="F21" s="67" t="str">
        <f>IF(Record!X14="","",Record!X14)</f>
        <v/>
      </c>
      <c r="G21" s="68" t="str">
        <f>IF(Record!Y14="","",Record!Y14)</f>
        <v/>
      </c>
      <c r="H21" s="6">
        <f t="shared" si="44"/>
        <v>80</v>
      </c>
      <c r="I21" s="6">
        <f t="shared" si="45"/>
        <v>73.333333333333329</v>
      </c>
      <c r="J21" s="6">
        <f t="shared" si="46"/>
        <v>100</v>
      </c>
      <c r="K21" s="6" t="str">
        <f t="shared" si="47"/>
        <v/>
      </c>
      <c r="L21" s="6" t="str">
        <f t="shared" si="48"/>
        <v/>
      </c>
      <c r="M21" s="7">
        <f t="shared" si="49"/>
        <v>84.444444444444443</v>
      </c>
      <c r="N21" s="66">
        <f>IF(Record!Z14="","",Record!Z14)</f>
        <v>9</v>
      </c>
      <c r="O21" s="67">
        <f>IF(Record!AA14="","",Record!AA14)</f>
        <v>7</v>
      </c>
      <c r="P21" s="67">
        <f>IF(Record!AB14="","",Record!AB14)</f>
        <v>6</v>
      </c>
      <c r="Q21" s="67">
        <f>IF(Record!AC14="","",Record!AC14)</f>
        <v>6</v>
      </c>
      <c r="R21" s="69" t="str">
        <f>IF(Record!AD14="","",Record!AD14)</f>
        <v/>
      </c>
      <c r="S21" s="6">
        <f t="shared" si="50"/>
        <v>95</v>
      </c>
      <c r="T21" s="6">
        <f t="shared" si="51"/>
        <v>85</v>
      </c>
      <c r="U21" s="6">
        <f t="shared" si="52"/>
        <v>80</v>
      </c>
      <c r="V21" s="6">
        <f t="shared" si="53"/>
        <v>80</v>
      </c>
      <c r="W21" s="6" t="str">
        <f t="shared" si="54"/>
        <v/>
      </c>
      <c r="X21" s="7">
        <f t="shared" si="55"/>
        <v>85</v>
      </c>
      <c r="Y21" s="66">
        <f>IF(Record!AE14="","",Record!AE14)</f>
        <v>27</v>
      </c>
      <c r="Z21" s="7">
        <f t="shared" si="56"/>
        <v>88.571428571428584</v>
      </c>
      <c r="AA21" s="55">
        <f t="shared" si="57"/>
        <v>86.206349206349216</v>
      </c>
      <c r="AB21" s="8" t="str">
        <f t="shared" si="58"/>
        <v>Passed</v>
      </c>
    </row>
    <row r="22" spans="1:28" ht="16.5" customHeight="1" x14ac:dyDescent="0.25">
      <c r="A22" s="64">
        <f>IF(Record!A15="","",Record!A15)</f>
        <v>10</v>
      </c>
      <c r="B22" s="65" t="str">
        <f>IF(UPPER(Record!B15)="","",UPPER(Record!B15))</f>
        <v>STUDENT_10</v>
      </c>
      <c r="C22" s="66">
        <f>IF(Record!U15="","",Record!U15)</f>
        <v>3</v>
      </c>
      <c r="D22" s="67">
        <f>IF(Record!V15="","",Record!V15)</f>
        <v>2</v>
      </c>
      <c r="E22" s="67">
        <f>IF(Record!W15="","",Record!W15)</f>
        <v>10</v>
      </c>
      <c r="F22" s="67" t="str">
        <f>IF(Record!X15="","",Record!X15)</f>
        <v/>
      </c>
      <c r="G22" s="68" t="str">
        <f>IF(Record!Y15="","",Record!Y15)</f>
        <v/>
      </c>
      <c r="H22" s="6">
        <f t="shared" si="44"/>
        <v>65</v>
      </c>
      <c r="I22" s="6">
        <f t="shared" si="45"/>
        <v>56.666666666666664</v>
      </c>
      <c r="J22" s="6">
        <f t="shared" si="46"/>
        <v>100</v>
      </c>
      <c r="K22" s="6" t="str">
        <f t="shared" si="47"/>
        <v/>
      </c>
      <c r="L22" s="6" t="str">
        <f t="shared" si="48"/>
        <v/>
      </c>
      <c r="M22" s="7">
        <f t="shared" si="49"/>
        <v>73.888888888888886</v>
      </c>
      <c r="N22" s="66">
        <f>IF(Record!Z15="","",Record!Z15)</f>
        <v>4</v>
      </c>
      <c r="O22" s="67">
        <f>IF(Record!AA15="","",Record!AA15)</f>
        <v>7</v>
      </c>
      <c r="P22" s="67">
        <f>IF(Record!AB15="","",Record!AB15)</f>
        <v>5</v>
      </c>
      <c r="Q22" s="67">
        <f>IF(Record!AC15="","",Record!AC15)</f>
        <v>5</v>
      </c>
      <c r="R22" s="69" t="str">
        <f>IF(Record!AD15="","",Record!AD15)</f>
        <v/>
      </c>
      <c r="S22" s="6">
        <f t="shared" si="50"/>
        <v>70</v>
      </c>
      <c r="T22" s="6">
        <f t="shared" si="51"/>
        <v>85</v>
      </c>
      <c r="U22" s="6">
        <f t="shared" si="52"/>
        <v>75</v>
      </c>
      <c r="V22" s="6">
        <f t="shared" si="53"/>
        <v>75</v>
      </c>
      <c r="W22" s="6" t="str">
        <f t="shared" si="54"/>
        <v/>
      </c>
      <c r="X22" s="7">
        <f t="shared" si="55"/>
        <v>76.25</v>
      </c>
      <c r="Y22" s="66">
        <f>IF(Record!AE15="","",Record!AE15)</f>
        <v>18</v>
      </c>
      <c r="Z22" s="7">
        <f t="shared" si="56"/>
        <v>75.714285714285708</v>
      </c>
      <c r="AA22" s="55">
        <f t="shared" si="57"/>
        <v>75.091269841269849</v>
      </c>
      <c r="AB22" s="8" t="str">
        <f t="shared" si="58"/>
        <v>Passed</v>
      </c>
    </row>
    <row r="23" spans="1:28" s="13" customFormat="1" ht="15" customHeight="1" thickBot="1" x14ac:dyDescent="0.3">
      <c r="A23" s="121"/>
      <c r="B23" s="122"/>
      <c r="C23" s="123"/>
      <c r="D23" s="124"/>
      <c r="E23" s="124"/>
      <c r="F23" s="124"/>
      <c r="G23" s="125"/>
      <c r="H23" s="126"/>
      <c r="I23" s="126"/>
      <c r="J23" s="126"/>
      <c r="K23" s="126"/>
      <c r="L23" s="126"/>
      <c r="M23" s="127"/>
      <c r="N23" s="123"/>
      <c r="O23" s="124"/>
      <c r="P23" s="124"/>
      <c r="Q23" s="124"/>
      <c r="R23" s="128"/>
      <c r="S23" s="126"/>
      <c r="T23" s="126"/>
      <c r="U23" s="126"/>
      <c r="V23" s="126"/>
      <c r="W23" s="126"/>
      <c r="X23" s="127"/>
      <c r="Y23" s="123"/>
      <c r="Z23" s="127"/>
      <c r="AA23" s="129"/>
      <c r="AB23" s="130"/>
    </row>
    <row r="24" spans="1:28" s="13" customFormat="1" ht="15" customHeight="1" x14ac:dyDescent="0.25">
      <c r="A24" s="78"/>
      <c r="B24" s="79"/>
      <c r="C24" s="80"/>
      <c r="D24" s="80"/>
      <c r="E24" s="80"/>
      <c r="F24" s="80"/>
      <c r="G24" s="80"/>
      <c r="H24" s="10"/>
      <c r="I24" s="10"/>
      <c r="J24" s="10"/>
      <c r="K24" s="10"/>
      <c r="L24" s="10"/>
      <c r="M24" s="10"/>
      <c r="N24" s="80"/>
      <c r="O24" s="80"/>
      <c r="P24" s="80"/>
      <c r="Q24" s="80"/>
      <c r="R24" s="41"/>
      <c r="S24" s="10"/>
      <c r="T24" s="10"/>
      <c r="U24" s="10"/>
      <c r="V24" s="10"/>
      <c r="W24" s="10"/>
      <c r="X24" s="10"/>
      <c r="Y24" s="80"/>
      <c r="Z24" s="10"/>
      <c r="AA24" s="94"/>
      <c r="AB24" s="12"/>
    </row>
    <row r="25" spans="1:28" s="13" customFormat="1" ht="15" customHeight="1" x14ac:dyDescent="0.25">
      <c r="A25" s="78"/>
      <c r="B25" s="79"/>
      <c r="C25" s="80"/>
      <c r="D25" s="80"/>
      <c r="E25" s="80"/>
      <c r="F25" s="80"/>
      <c r="G25" s="80"/>
      <c r="H25" s="10"/>
      <c r="I25" s="10"/>
      <c r="J25" s="10"/>
      <c r="K25" s="10"/>
      <c r="L25" s="10"/>
      <c r="M25" s="10"/>
      <c r="N25" s="80"/>
      <c r="O25" s="80"/>
      <c r="P25" s="80"/>
      <c r="Q25" s="80"/>
      <c r="R25" s="41"/>
      <c r="S25" s="10"/>
      <c r="T25" s="10"/>
      <c r="U25" s="10"/>
      <c r="V25" s="10"/>
      <c r="W25" s="10"/>
      <c r="X25" s="10"/>
      <c r="Y25" s="80"/>
      <c r="Z25" s="10"/>
      <c r="AA25" s="94"/>
      <c r="AB25" s="12"/>
    </row>
    <row r="26" spans="1:28" s="13" customFormat="1" ht="15" customHeight="1" x14ac:dyDescent="0.25">
      <c r="A26" s="78"/>
      <c r="B26" s="79"/>
      <c r="C26" s="80"/>
      <c r="D26" s="80"/>
      <c r="E26" s="80"/>
      <c r="F26" s="80"/>
      <c r="G26" s="80"/>
      <c r="H26" s="10"/>
      <c r="I26" s="10"/>
      <c r="J26" s="10"/>
      <c r="K26" s="10"/>
      <c r="L26" s="10"/>
      <c r="M26" s="10"/>
      <c r="N26" s="80"/>
      <c r="O26" s="80"/>
      <c r="P26" s="80"/>
      <c r="Q26" s="80"/>
      <c r="R26" s="41"/>
      <c r="S26" s="10"/>
      <c r="T26" s="10"/>
      <c r="U26" s="10"/>
      <c r="V26" s="10"/>
      <c r="W26" s="10"/>
      <c r="X26" s="10"/>
      <c r="Y26" s="80"/>
      <c r="Z26" s="10"/>
      <c r="AA26" s="94"/>
      <c r="AB26" s="12"/>
    </row>
    <row r="27" spans="1:28" s="13" customFormat="1" ht="15" customHeight="1" x14ac:dyDescent="0.25">
      <c r="A27" s="78"/>
      <c r="B27" s="79"/>
      <c r="C27" s="80"/>
      <c r="D27" s="80"/>
      <c r="E27" s="80"/>
      <c r="F27" s="80"/>
      <c r="G27" s="80"/>
      <c r="H27" s="10"/>
      <c r="I27" s="10"/>
      <c r="J27" s="10"/>
      <c r="K27" s="10"/>
      <c r="L27" s="10"/>
      <c r="M27" s="10"/>
      <c r="N27" s="80"/>
      <c r="O27" s="80"/>
      <c r="P27" s="80"/>
      <c r="Q27" s="80"/>
      <c r="R27" s="41"/>
      <c r="S27" s="10"/>
      <c r="T27" s="10"/>
      <c r="U27" s="10"/>
      <c r="V27" s="10"/>
      <c r="W27" s="10"/>
      <c r="X27" s="10"/>
      <c r="Y27" s="80"/>
      <c r="Z27" s="10"/>
      <c r="AA27" s="94"/>
      <c r="AB27" s="12"/>
    </row>
    <row r="28" spans="1:28" s="13" customFormat="1" ht="15" customHeight="1" x14ac:dyDescent="0.25">
      <c r="A28" s="78"/>
      <c r="B28" s="79"/>
      <c r="C28" s="80"/>
      <c r="D28" s="80"/>
      <c r="E28" s="80"/>
      <c r="F28" s="80"/>
      <c r="G28" s="80"/>
      <c r="H28" s="10"/>
      <c r="I28" s="10"/>
      <c r="J28" s="10"/>
      <c r="K28" s="10"/>
      <c r="L28" s="10"/>
      <c r="M28" s="10"/>
      <c r="N28" s="80"/>
      <c r="O28" s="80"/>
      <c r="P28" s="80"/>
      <c r="Q28" s="80"/>
      <c r="R28" s="41"/>
      <c r="S28" s="10"/>
      <c r="T28" s="10"/>
      <c r="U28" s="10"/>
      <c r="V28" s="10"/>
      <c r="W28" s="10"/>
      <c r="X28" s="10"/>
      <c r="Y28" s="80"/>
      <c r="Z28" s="10"/>
      <c r="AA28" s="94"/>
      <c r="AB28" s="12"/>
    </row>
    <row r="29" spans="1:28" s="13" customFormat="1" ht="15" customHeight="1" x14ac:dyDescent="0.25">
      <c r="A29" s="78"/>
      <c r="B29" s="79"/>
      <c r="C29" s="80"/>
      <c r="D29" s="80"/>
      <c r="E29" s="80"/>
      <c r="F29" s="80"/>
      <c r="G29" s="80"/>
      <c r="H29" s="10"/>
      <c r="I29" s="10"/>
      <c r="J29" s="10"/>
      <c r="K29" s="10"/>
      <c r="L29" s="10"/>
      <c r="M29" s="10"/>
      <c r="N29" s="80"/>
      <c r="O29" s="80"/>
      <c r="P29" s="80"/>
      <c r="Q29" s="80"/>
      <c r="R29" s="41"/>
      <c r="S29" s="10"/>
      <c r="T29" s="10"/>
      <c r="U29" s="10"/>
      <c r="V29" s="10"/>
      <c r="W29" s="10"/>
      <c r="X29" s="10"/>
      <c r="Y29" s="80"/>
      <c r="Z29" s="10"/>
      <c r="AA29" s="94"/>
      <c r="AB29" s="12"/>
    </row>
    <row r="30" spans="1:28" s="13" customFormat="1" ht="15" customHeight="1" x14ac:dyDescent="0.25">
      <c r="A30" s="78"/>
      <c r="B30" s="79"/>
      <c r="C30" s="80"/>
      <c r="D30" s="80"/>
      <c r="E30" s="80"/>
      <c r="F30" s="80"/>
      <c r="G30" s="80"/>
      <c r="H30" s="10"/>
      <c r="I30" s="10"/>
      <c r="J30" s="10"/>
      <c r="K30" s="10"/>
      <c r="L30" s="10"/>
      <c r="M30" s="10"/>
      <c r="N30" s="80"/>
      <c r="O30" s="80"/>
      <c r="P30" s="80"/>
      <c r="Q30" s="80"/>
      <c r="R30" s="41"/>
      <c r="S30" s="10"/>
      <c r="T30" s="10"/>
      <c r="U30" s="10"/>
      <c r="V30" s="10"/>
      <c r="W30" s="10"/>
      <c r="X30" s="10"/>
      <c r="Y30" s="80"/>
      <c r="Z30" s="10"/>
      <c r="AA30" s="94"/>
      <c r="AB30" s="12"/>
    </row>
    <row r="31" spans="1:28" s="13" customFormat="1" ht="15" customHeight="1" x14ac:dyDescent="0.25">
      <c r="A31" s="78"/>
      <c r="B31" s="79"/>
      <c r="C31" s="80"/>
      <c r="D31" s="80"/>
      <c r="E31" s="80"/>
      <c r="F31" s="80"/>
      <c r="G31" s="80"/>
      <c r="H31" s="10"/>
      <c r="I31" s="10"/>
      <c r="J31" s="10"/>
      <c r="K31" s="10"/>
      <c r="L31" s="10"/>
      <c r="M31" s="10"/>
      <c r="N31" s="80"/>
      <c r="O31" s="80"/>
      <c r="P31" s="80"/>
      <c r="Q31" s="80"/>
      <c r="R31" s="41"/>
      <c r="S31" s="10"/>
      <c r="T31" s="10"/>
      <c r="U31" s="10"/>
      <c r="V31" s="10"/>
      <c r="W31" s="10"/>
      <c r="X31" s="10"/>
      <c r="Y31" s="80"/>
      <c r="Z31" s="10"/>
      <c r="AA31" s="94"/>
      <c r="AB31" s="12"/>
    </row>
    <row r="32" spans="1:28" s="13" customFormat="1" ht="15" customHeight="1" x14ac:dyDescent="0.25">
      <c r="A32" s="78"/>
      <c r="B32" s="79"/>
      <c r="C32" s="80"/>
      <c r="D32" s="80"/>
      <c r="E32" s="80"/>
      <c r="F32" s="80"/>
      <c r="G32" s="80"/>
      <c r="H32" s="10"/>
      <c r="I32" s="10"/>
      <c r="J32" s="10"/>
      <c r="K32" s="10"/>
      <c r="L32" s="10"/>
      <c r="M32" s="10"/>
      <c r="N32" s="80"/>
      <c r="O32" s="80"/>
      <c r="P32" s="80"/>
      <c r="Q32" s="80"/>
      <c r="R32" s="41"/>
      <c r="S32" s="10"/>
      <c r="T32" s="10"/>
      <c r="U32" s="10"/>
      <c r="V32" s="10"/>
      <c r="W32" s="10"/>
      <c r="X32" s="10"/>
      <c r="Y32" s="80"/>
      <c r="Z32" s="10"/>
      <c r="AA32" s="94"/>
      <c r="AB32" s="12"/>
    </row>
    <row r="33" spans="1:28" s="13" customFormat="1" ht="15" customHeight="1" x14ac:dyDescent="0.25">
      <c r="A33" s="78"/>
      <c r="B33" s="79"/>
      <c r="C33" s="80"/>
      <c r="D33" s="80"/>
      <c r="E33" s="80"/>
      <c r="F33" s="80"/>
      <c r="G33" s="80"/>
      <c r="H33" s="10"/>
      <c r="I33" s="10"/>
      <c r="J33" s="10"/>
      <c r="K33" s="10"/>
      <c r="L33" s="10"/>
      <c r="M33" s="10"/>
      <c r="N33" s="80"/>
      <c r="O33" s="80"/>
      <c r="P33" s="80"/>
      <c r="Q33" s="80"/>
      <c r="R33" s="41"/>
      <c r="S33" s="10"/>
      <c r="T33" s="10"/>
      <c r="U33" s="10"/>
      <c r="V33" s="10"/>
      <c r="W33" s="10"/>
      <c r="X33" s="10"/>
      <c r="Y33" s="80"/>
      <c r="Z33" s="10"/>
      <c r="AA33" s="94"/>
      <c r="AB33" s="12"/>
    </row>
    <row r="34" spans="1:28" s="81" customFormat="1" ht="16.5" customHeight="1" x14ac:dyDescent="0.25">
      <c r="A34" s="211" t="s">
        <v>35</v>
      </c>
      <c r="B34" s="211"/>
      <c r="C34" s="211"/>
      <c r="D34" s="211"/>
      <c r="E34" s="211"/>
      <c r="F34" s="212" t="s">
        <v>36</v>
      </c>
      <c r="G34" s="212"/>
      <c r="H34" s="212"/>
      <c r="I34" s="212"/>
      <c r="J34" s="212"/>
      <c r="K34" s="212"/>
      <c r="L34" s="212"/>
      <c r="M34" s="212"/>
      <c r="N34" s="212"/>
      <c r="O34" s="212"/>
      <c r="P34" s="212"/>
      <c r="Q34" s="212"/>
      <c r="R34" s="212"/>
      <c r="S34" s="212"/>
      <c r="T34" s="212" t="s">
        <v>37</v>
      </c>
      <c r="U34" s="212"/>
      <c r="V34" s="212"/>
      <c r="W34" s="212"/>
      <c r="X34" s="212"/>
      <c r="Y34" s="212"/>
      <c r="Z34" s="212"/>
      <c r="AA34" s="212"/>
      <c r="AB34" s="212"/>
    </row>
    <row r="35" spans="1:28" ht="16.5" customHeight="1" x14ac:dyDescent="0.25">
      <c r="A35" s="203"/>
      <c r="B35" s="203"/>
      <c r="C35" s="203"/>
      <c r="D35" s="203"/>
      <c r="E35" s="203"/>
      <c r="F35" s="203"/>
      <c r="G35" s="203"/>
      <c r="H35" s="203"/>
      <c r="I35" s="203"/>
      <c r="J35" s="203"/>
      <c r="K35" s="203"/>
      <c r="L35" s="203"/>
      <c r="M35" s="203"/>
      <c r="N35" s="203"/>
      <c r="O35" s="203"/>
      <c r="P35" s="203"/>
      <c r="Q35" s="203"/>
      <c r="R35" s="203"/>
      <c r="S35" s="203"/>
      <c r="T35" s="203"/>
      <c r="U35" s="203"/>
      <c r="V35" s="203"/>
      <c r="W35" s="203"/>
      <c r="X35" s="203"/>
      <c r="Y35" s="203"/>
      <c r="Z35" s="203"/>
      <c r="AA35" s="203"/>
      <c r="AB35" s="203"/>
    </row>
    <row r="36" spans="1:28" s="83" customFormat="1" ht="16.5" customHeight="1" x14ac:dyDescent="0.25">
      <c r="A36" s="208" t="str">
        <f>IF(UPPER([1]Subject_Info!B7)="","",UPPER([1]Subject_Info!B7))</f>
        <v>JENNIFER L. PIDO</v>
      </c>
      <c r="B36" s="208"/>
      <c r="C36" s="208"/>
      <c r="D36" s="208"/>
      <c r="E36" s="208"/>
      <c r="F36" s="208" t="str">
        <f>IF(UPPER(Subject_Info!B8)="","",UPPER(Subject_Info!B8))</f>
        <v/>
      </c>
      <c r="G36" s="208"/>
      <c r="H36" s="208"/>
      <c r="I36" s="208"/>
      <c r="J36" s="208"/>
      <c r="K36" s="208"/>
      <c r="L36" s="208"/>
      <c r="M36" s="208"/>
      <c r="N36" s="208"/>
      <c r="O36" s="208"/>
      <c r="P36" s="208"/>
      <c r="Q36" s="208"/>
      <c r="R36" s="208"/>
      <c r="S36" s="208"/>
      <c r="T36" s="209" t="str">
        <f>IF(([1]Subject_Info!B9)="","",([1]Subject_Info!B9))</f>
        <v>DR. REYNALDO B. ROJO</v>
      </c>
      <c r="U36" s="209"/>
      <c r="V36" s="209"/>
      <c r="W36" s="209"/>
      <c r="X36" s="209"/>
      <c r="Y36" s="209"/>
      <c r="Z36" s="209"/>
      <c r="AA36" s="209"/>
      <c r="AB36" s="209"/>
    </row>
    <row r="37" spans="1:28" s="84" customFormat="1" ht="16.5" customHeight="1" x14ac:dyDescent="0.25">
      <c r="A37" s="210" t="s">
        <v>38</v>
      </c>
      <c r="B37" s="210"/>
      <c r="C37" s="210"/>
      <c r="D37" s="210"/>
      <c r="E37" s="210"/>
      <c r="F37" s="210" t="s">
        <v>39</v>
      </c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 t="s">
        <v>40</v>
      </c>
      <c r="U37" s="210"/>
      <c r="V37" s="210"/>
      <c r="W37" s="210"/>
      <c r="X37" s="210"/>
      <c r="Y37" s="210"/>
      <c r="Z37" s="210"/>
      <c r="AA37" s="210"/>
      <c r="AB37" s="210"/>
    </row>
  </sheetData>
  <sheetProtection selectLockedCells="1"/>
  <mergeCells count="51">
    <mergeCell ref="A37:E37"/>
    <mergeCell ref="F37:S37"/>
    <mergeCell ref="T37:AB37"/>
    <mergeCell ref="A35:E35"/>
    <mergeCell ref="F35:S35"/>
    <mergeCell ref="T35:AB35"/>
    <mergeCell ref="A36:E36"/>
    <mergeCell ref="F36:S36"/>
    <mergeCell ref="T36:AB36"/>
    <mergeCell ref="A34:E34"/>
    <mergeCell ref="F34:S34"/>
    <mergeCell ref="T34:AB34"/>
    <mergeCell ref="L10:L11"/>
    <mergeCell ref="W10:W11"/>
    <mergeCell ref="X10:X11"/>
    <mergeCell ref="M10:M11"/>
    <mergeCell ref="H10:H11"/>
    <mergeCell ref="I10:I11"/>
    <mergeCell ref="A8:AB8"/>
    <mergeCell ref="A9:A11"/>
    <mergeCell ref="C9:G9"/>
    <mergeCell ref="H9:M9"/>
    <mergeCell ref="N9:R9"/>
    <mergeCell ref="S9:X9"/>
    <mergeCell ref="Y9:Z9"/>
    <mergeCell ref="AA9:AA11"/>
    <mergeCell ref="AB9:AB11"/>
    <mergeCell ref="Y10:Z10"/>
    <mergeCell ref="S10:S11"/>
    <mergeCell ref="T10:T11"/>
    <mergeCell ref="V10:V11"/>
    <mergeCell ref="J10:J11"/>
    <mergeCell ref="K10:K11"/>
    <mergeCell ref="U10:U11"/>
    <mergeCell ref="A1:AB1"/>
    <mergeCell ref="A2:AB2"/>
    <mergeCell ref="A3:AB3"/>
    <mergeCell ref="A4:AB4"/>
    <mergeCell ref="C5:H5"/>
    <mergeCell ref="I5:L5"/>
    <mergeCell ref="M5:Q5"/>
    <mergeCell ref="R5:S5"/>
    <mergeCell ref="T5:W5"/>
    <mergeCell ref="R6:W6"/>
    <mergeCell ref="C7:H7"/>
    <mergeCell ref="I7:L7"/>
    <mergeCell ref="M7:Q7"/>
    <mergeCell ref="R7:W7"/>
    <mergeCell ref="C6:H6"/>
    <mergeCell ref="I6:L6"/>
    <mergeCell ref="M6:Q6"/>
  </mergeCells>
  <conditionalFormatting sqref="A4">
    <cfRule type="cellIs" dxfId="30" priority="35" stopIfTrue="1" operator="lessThan">
      <formula>75</formula>
    </cfRule>
  </conditionalFormatting>
  <conditionalFormatting sqref="A2:A4">
    <cfRule type="cellIs" dxfId="29" priority="34" stopIfTrue="1" operator="greaterThan">
      <formula>0</formula>
    </cfRule>
  </conditionalFormatting>
  <conditionalFormatting sqref="Z12:AA16 X12:X16 M12:M16 M23:M33 X23:X33 Z23:AA33">
    <cfRule type="cellIs" dxfId="28" priority="33" operator="lessThan">
      <formula>75</formula>
    </cfRule>
  </conditionalFormatting>
  <conditionalFormatting sqref="AB12:AB16 AB23:AB33">
    <cfRule type="cellIs" dxfId="27" priority="29" operator="equal">
      <formula>"Failed"</formula>
    </cfRule>
  </conditionalFormatting>
  <conditionalFormatting sqref="S12:W16 H12:L16 H23:L33 S23:W33">
    <cfRule type="cellIs" dxfId="26" priority="28" operator="lessThan">
      <formula>75</formula>
    </cfRule>
  </conditionalFormatting>
  <conditionalFormatting sqref="Z17:AA22 X17:X22 M17:M22">
    <cfRule type="cellIs" dxfId="25" priority="24" operator="lessThan">
      <formula>75</formula>
    </cfRule>
  </conditionalFormatting>
  <conditionalFormatting sqref="AB17:AB22">
    <cfRule type="cellIs" dxfId="24" priority="23" operator="equal">
      <formula>"Failed"</formula>
    </cfRule>
  </conditionalFormatting>
  <conditionalFormatting sqref="S17:W22 H17:L22">
    <cfRule type="cellIs" dxfId="23" priority="22" operator="lessThan">
      <formula>75</formula>
    </cfRule>
  </conditionalFormatting>
  <pageMargins left="0.19685039370078741" right="0.19685039370078741" top="0.39370078740157483" bottom="0.11811023622047245" header="0.31496062992125984" footer="0.31496062992125984"/>
  <pageSetup scale="85" orientation="landscape" horizontalDpi="4294967294" verticalDpi="0" r:id="rId1"/>
  <ignoredErrors>
    <ignoredError sqref="H11:M11 C6:Q7 H10:M10 C10:G11 S11:X11 S10:X10 N10:R11 Z11 Z10 Y11 Y10 H16:M16 S16:X16 Z12:AB12 Y16 N16:R16 C16:G16 C5:L5 Z16:AB16 Z13:AA13 AB13 Z15:AB15 C12:G12 N12:R12 Y12 S12:X12 H12:M12 C13:G13 N13:R13 Y13 S13:X13 H13:M13 C15:G15 N15:R15 Y15 S15:X15 H15:M15 AA14 AA17:AA22" unlocked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2060"/>
  </sheetPr>
  <dimension ref="A1:AB37"/>
  <sheetViews>
    <sheetView zoomScaleNormal="100" workbookViewId="0">
      <selection sqref="A1:AB1"/>
    </sheetView>
  </sheetViews>
  <sheetFormatPr defaultColWidth="9.140625" defaultRowHeight="16.5" x14ac:dyDescent="0.25"/>
  <cols>
    <col min="1" max="1" width="3.5703125" style="82" customWidth="1"/>
    <col min="2" max="2" width="28" style="9" customWidth="1"/>
    <col min="3" max="3" width="5.140625" style="9" customWidth="1"/>
    <col min="4" max="4" width="4.5703125" style="9" customWidth="1"/>
    <col min="5" max="7" width="5.140625" style="9" customWidth="1"/>
    <col min="8" max="8" width="3.85546875" style="9" customWidth="1"/>
    <col min="9" max="9" width="4" style="9" customWidth="1"/>
    <col min="10" max="10" width="4.28515625" style="9" customWidth="1"/>
    <col min="11" max="11" width="3.85546875" style="9" customWidth="1"/>
    <col min="12" max="12" width="3.7109375" style="9" customWidth="1"/>
    <col min="13" max="13" width="5.28515625" style="9" customWidth="1"/>
    <col min="14" max="18" width="4.7109375" style="9" customWidth="1"/>
    <col min="19" max="19" width="4.28515625" style="9" customWidth="1"/>
    <col min="20" max="20" width="4.7109375" style="9" customWidth="1"/>
    <col min="21" max="23" width="4.5703125" style="9" customWidth="1"/>
    <col min="24" max="24" width="4.28515625" style="9" customWidth="1"/>
    <col min="25" max="26" width="5.28515625" style="9" customWidth="1"/>
    <col min="27" max="27" width="7.5703125" style="9" customWidth="1"/>
    <col min="28" max="28" width="7.85546875" style="82" customWidth="1"/>
    <col min="29" max="16384" width="9.140625" style="9"/>
  </cols>
  <sheetData>
    <row r="1" spans="1:28" ht="18.75" x14ac:dyDescent="0.25">
      <c r="A1" s="204" t="s">
        <v>0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  <c r="AA1" s="204"/>
      <c r="AB1" s="204"/>
    </row>
    <row r="2" spans="1:28" x14ac:dyDescent="0.25">
      <c r="A2" s="205" t="s">
        <v>60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</row>
    <row r="3" spans="1:28" ht="18.75" x14ac:dyDescent="0.25">
      <c r="A3" s="206" t="s">
        <v>1</v>
      </c>
      <c r="B3" s="206"/>
      <c r="C3" s="206"/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</row>
    <row r="4" spans="1:28" x14ac:dyDescent="0.25">
      <c r="A4" s="203"/>
      <c r="B4" s="203"/>
      <c r="C4" s="203"/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203"/>
    </row>
    <row r="5" spans="1:28" x14ac:dyDescent="0.25">
      <c r="B5" s="70" t="s">
        <v>2</v>
      </c>
      <c r="C5" s="200" t="str">
        <f>IF(Subject_Info!B1="","",Subject_Info!B1)</f>
        <v/>
      </c>
      <c r="D5" s="200"/>
      <c r="E5" s="200"/>
      <c r="F5" s="200"/>
      <c r="G5" s="200"/>
      <c r="H5" s="200"/>
      <c r="I5" s="201" t="s">
        <v>3</v>
      </c>
      <c r="J5" s="201"/>
      <c r="K5" s="201"/>
      <c r="L5" s="201"/>
      <c r="M5" s="202" t="str">
        <f>IF(UPPER(Subject_Info!B4)="","",UPPER(Subject_Info!B4))</f>
        <v/>
      </c>
      <c r="N5" s="202"/>
      <c r="O5" s="202"/>
      <c r="P5" s="202"/>
      <c r="Q5" s="202"/>
      <c r="R5" s="205" t="s">
        <v>4</v>
      </c>
      <c r="S5" s="205"/>
      <c r="T5" s="217" t="s">
        <v>43</v>
      </c>
      <c r="U5" s="217"/>
      <c r="V5" s="217"/>
      <c r="W5" s="217"/>
      <c r="X5" s="70" t="s">
        <v>6</v>
      </c>
      <c r="AB5" s="82">
        <f>COUNTIF(AB12:AB37,"Passed")</f>
        <v>9</v>
      </c>
    </row>
    <row r="6" spans="1:28" x14ac:dyDescent="0.25">
      <c r="B6" s="70" t="s">
        <v>7</v>
      </c>
      <c r="C6" s="200" t="str">
        <f>IF(Subject_Info!B2="","",Subject_Info!B2)</f>
        <v/>
      </c>
      <c r="D6" s="200"/>
      <c r="E6" s="200"/>
      <c r="F6" s="200"/>
      <c r="G6" s="200"/>
      <c r="H6" s="200"/>
      <c r="I6" s="201" t="s">
        <v>8</v>
      </c>
      <c r="J6" s="201"/>
      <c r="K6" s="201"/>
      <c r="L6" s="201"/>
      <c r="M6" s="202" t="str">
        <f>IF(Subject_Info!B5="","",Subject_Info!B5)</f>
        <v/>
      </c>
      <c r="N6" s="202"/>
      <c r="O6" s="202"/>
      <c r="P6" s="202"/>
      <c r="Q6" s="202"/>
      <c r="R6" s="203"/>
      <c r="S6" s="203"/>
      <c r="T6" s="203"/>
      <c r="U6" s="203"/>
      <c r="V6" s="203"/>
      <c r="W6" s="203"/>
      <c r="X6" s="70" t="s">
        <v>9</v>
      </c>
      <c r="AB6" s="88">
        <f>COUNTIF(AB12:AB37,"Failed")</f>
        <v>1</v>
      </c>
    </row>
    <row r="7" spans="1:28" x14ac:dyDescent="0.25">
      <c r="B7" s="70" t="s">
        <v>10</v>
      </c>
      <c r="C7" s="200" t="str">
        <f>IF(Subject_Info!B3="","",Subject_Info!B3)</f>
        <v/>
      </c>
      <c r="D7" s="200"/>
      <c r="E7" s="200"/>
      <c r="F7" s="200"/>
      <c r="G7" s="200"/>
      <c r="H7" s="200"/>
      <c r="I7" s="201" t="s">
        <v>11</v>
      </c>
      <c r="J7" s="201"/>
      <c r="K7" s="201"/>
      <c r="L7" s="201"/>
      <c r="M7" s="202" t="str">
        <f>IF(Subject_Info!B6="","",Subject_Info!B6)</f>
        <v/>
      </c>
      <c r="N7" s="202"/>
      <c r="O7" s="202"/>
      <c r="P7" s="202"/>
      <c r="Q7" s="202"/>
      <c r="R7" s="203"/>
      <c r="S7" s="203"/>
      <c r="T7" s="203"/>
      <c r="U7" s="203"/>
      <c r="V7" s="203"/>
      <c r="W7" s="203"/>
      <c r="X7" s="70" t="s">
        <v>12</v>
      </c>
      <c r="AB7" s="89">
        <f>COUNTIF(AB12:AB37,"Dropped")</f>
        <v>0</v>
      </c>
    </row>
    <row r="8" spans="1:28" ht="17.25" thickBot="1" x14ac:dyDescent="0.3">
      <c r="A8" s="172" t="s">
        <v>13</v>
      </c>
      <c r="B8" s="172"/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2"/>
      <c r="AB8" s="172"/>
    </row>
    <row r="9" spans="1:28" s="77" customFormat="1" ht="15" x14ac:dyDescent="0.25">
      <c r="A9" s="187" t="s">
        <v>14</v>
      </c>
      <c r="B9" s="76" t="s">
        <v>15</v>
      </c>
      <c r="C9" s="190" t="s">
        <v>16</v>
      </c>
      <c r="D9" s="191"/>
      <c r="E9" s="191"/>
      <c r="F9" s="191"/>
      <c r="G9" s="191"/>
      <c r="H9" s="192" t="s">
        <v>17</v>
      </c>
      <c r="I9" s="193"/>
      <c r="J9" s="193"/>
      <c r="K9" s="193"/>
      <c r="L9" s="193"/>
      <c r="M9" s="194"/>
      <c r="N9" s="195" t="s">
        <v>18</v>
      </c>
      <c r="O9" s="196"/>
      <c r="P9" s="196"/>
      <c r="Q9" s="196"/>
      <c r="R9" s="197"/>
      <c r="S9" s="198" t="s">
        <v>17</v>
      </c>
      <c r="T9" s="198"/>
      <c r="U9" s="198"/>
      <c r="V9" s="198"/>
      <c r="W9" s="198"/>
      <c r="X9" s="199"/>
      <c r="Y9" s="186" t="s">
        <v>19</v>
      </c>
      <c r="Z9" s="186"/>
      <c r="AA9" s="176" t="s">
        <v>57</v>
      </c>
      <c r="AB9" s="179" t="s">
        <v>21</v>
      </c>
    </row>
    <row r="10" spans="1:28" x14ac:dyDescent="0.35">
      <c r="A10" s="188"/>
      <c r="B10" s="56" t="s">
        <v>22</v>
      </c>
      <c r="C10" s="57" t="str">
        <f>IF(Record!AG3="","",Record!AG3)</f>
        <v/>
      </c>
      <c r="D10" s="58" t="str">
        <f>IF(Record!AH3="","",Record!AH3)</f>
        <v/>
      </c>
      <c r="E10" s="59" t="str">
        <f>IF(Record!AI3="","",Record!AI3)</f>
        <v/>
      </c>
      <c r="F10" s="58" t="str">
        <f>IF(Record!AJ3="","",Record!AJ3)</f>
        <v/>
      </c>
      <c r="G10" s="60" t="str">
        <f>IF(Record!AK3="","",Record!AK3)</f>
        <v/>
      </c>
      <c r="H10" s="182" t="s">
        <v>23</v>
      </c>
      <c r="I10" s="182" t="s">
        <v>24</v>
      </c>
      <c r="J10" s="182" t="s">
        <v>25</v>
      </c>
      <c r="K10" s="182" t="s">
        <v>26</v>
      </c>
      <c r="L10" s="182" t="s">
        <v>27</v>
      </c>
      <c r="M10" s="173" t="s">
        <v>28</v>
      </c>
      <c r="N10" s="60" t="str">
        <f>IF(Record!AL3="","",Record!AL3)</f>
        <v/>
      </c>
      <c r="O10" s="61" t="str">
        <f>IF(Record!AM3="","",Record!AM3)</f>
        <v/>
      </c>
      <c r="P10" s="61" t="str">
        <f>IF(Record!AN3="","",Record!AN3)</f>
        <v/>
      </c>
      <c r="Q10" s="61" t="str">
        <f>IF(Record!AO3="","",Record!AO3)</f>
        <v/>
      </c>
      <c r="R10" s="62" t="str">
        <f>IF(Record!AP3="","",Record!AP3)</f>
        <v/>
      </c>
      <c r="S10" s="184" t="s">
        <v>29</v>
      </c>
      <c r="T10" s="184" t="s">
        <v>30</v>
      </c>
      <c r="U10" s="184" t="s">
        <v>31</v>
      </c>
      <c r="V10" s="184" t="s">
        <v>32</v>
      </c>
      <c r="W10" s="184" t="s">
        <v>33</v>
      </c>
      <c r="X10" s="173" t="s">
        <v>28</v>
      </c>
      <c r="Y10" s="175" t="str">
        <f>IF(Record!AQ3="","",Record!AQ3)</f>
        <v/>
      </c>
      <c r="Z10" s="175" t="str">
        <f>IF(Record!Z3="","",Record!Z3)</f>
        <v/>
      </c>
      <c r="AA10" s="177"/>
      <c r="AB10" s="180"/>
    </row>
    <row r="11" spans="1:28" s="81" customFormat="1" ht="15.75" thickBot="1" x14ac:dyDescent="0.4">
      <c r="A11" s="189"/>
      <c r="B11" s="111" t="s">
        <v>59</v>
      </c>
      <c r="C11" s="112">
        <f>IF(Record!AG4="","",Record!AG4)</f>
        <v>15</v>
      </c>
      <c r="D11" s="63">
        <f>IF(Record!AH4="","",Record!AH4)</f>
        <v>15</v>
      </c>
      <c r="E11" s="113">
        <f>IF(Record!AI4="","",Record!AI4)</f>
        <v>15</v>
      </c>
      <c r="F11" s="63" t="str">
        <f>IF(Record!AJ4="","",Record!AJ4)</f>
        <v/>
      </c>
      <c r="G11" s="114" t="str">
        <f>IF(Record!AK4="","",Record!AK4)</f>
        <v/>
      </c>
      <c r="H11" s="183"/>
      <c r="I11" s="183"/>
      <c r="J11" s="183"/>
      <c r="K11" s="183"/>
      <c r="L11" s="183"/>
      <c r="M11" s="174"/>
      <c r="N11" s="114">
        <f>IF(Record!AL4="","",Record!AL4)</f>
        <v>10</v>
      </c>
      <c r="O11" s="63">
        <f>IF(Record!AM4="","",Record!AM4)</f>
        <v>10</v>
      </c>
      <c r="P11" s="63">
        <f>IF(Record!AN4="","",Record!AN4)</f>
        <v>10</v>
      </c>
      <c r="Q11" s="63" t="str">
        <f>IF(Record!AO4="","",Record!AO4)</f>
        <v/>
      </c>
      <c r="R11" s="115" t="str">
        <f>IF(Record!AP4="","",Record!AP4)</f>
        <v/>
      </c>
      <c r="S11" s="185"/>
      <c r="T11" s="185"/>
      <c r="U11" s="185"/>
      <c r="V11" s="185"/>
      <c r="W11" s="185"/>
      <c r="X11" s="174"/>
      <c r="Y11" s="114">
        <f>IF(Record!AQ4="","",Record!AQ4)</f>
        <v>35</v>
      </c>
      <c r="Z11" s="115" t="s">
        <v>34</v>
      </c>
      <c r="AA11" s="178"/>
      <c r="AB11" s="181"/>
    </row>
    <row r="12" spans="1:28" ht="16.5" customHeight="1" x14ac:dyDescent="0.25">
      <c r="A12" s="102" t="str">
        <f>IF(Record!A5="","",Record!A5)</f>
        <v/>
      </c>
      <c r="B12" s="118" t="str">
        <f>IF(UPPER(Record!B5)="","",UPPER(Record!B5))</f>
        <v/>
      </c>
      <c r="C12" s="109" t="str">
        <f>IF(Record!AG5="","",Record!AG5)</f>
        <v/>
      </c>
      <c r="D12" s="104" t="str">
        <f>IF(Record!AH5="","",Record!AH5)</f>
        <v/>
      </c>
      <c r="E12" s="104" t="str">
        <f>IF(Record!AI5="","",Record!AI5)</f>
        <v/>
      </c>
      <c r="F12" s="104" t="str">
        <f>IF(Record!AJ5="","",Record!AJ5)</f>
        <v/>
      </c>
      <c r="G12" s="105" t="str">
        <f>IF(Record!AK5="","",Record!AK5)</f>
        <v/>
      </c>
      <c r="H12" s="106" t="str">
        <f t="shared" ref="H12:H16" si="0">IF(C12="","",(C12/$C$11)*50+50)</f>
        <v/>
      </c>
      <c r="I12" s="106" t="str">
        <f t="shared" ref="I12:I16" si="1">IF(D12="","",(D12/$D$11)*50+50)</f>
        <v/>
      </c>
      <c r="J12" s="106" t="str">
        <f t="shared" ref="J12:J16" si="2">IF(E12="","",(E12/$E$11)*50+50)</f>
        <v/>
      </c>
      <c r="K12" s="106" t="str">
        <f t="shared" ref="K12:K16" si="3">IF(F12="","",(F12/$F$11)*50+50)</f>
        <v/>
      </c>
      <c r="L12" s="106" t="str">
        <f t="shared" ref="L12:L16" si="4">IF(G12="","",(G12/$G$11)*50+50)</f>
        <v/>
      </c>
      <c r="M12" s="107" t="str">
        <f t="shared" ref="M12:M16" si="5">IFERROR(AVERAGE(H12:L12),"")</f>
        <v/>
      </c>
      <c r="N12" s="103" t="str">
        <f>IF(Record!AL5="","",Record!AL5)</f>
        <v/>
      </c>
      <c r="O12" s="104" t="str">
        <f>IF(Record!AM5="","",Record!AM5)</f>
        <v/>
      </c>
      <c r="P12" s="104" t="str">
        <f>IF(Record!AN5="","",Record!AN5)</f>
        <v/>
      </c>
      <c r="Q12" s="104" t="str">
        <f>IF(Record!AO5="","",Record!AO5)</f>
        <v/>
      </c>
      <c r="R12" s="110" t="str">
        <f>IF(Record!AP5="","",Record!AP5)</f>
        <v/>
      </c>
      <c r="S12" s="106" t="str">
        <f t="shared" ref="S12:S16" si="6">IF(N12="","",(N12/$N$11)*50+50)</f>
        <v/>
      </c>
      <c r="T12" s="106" t="str">
        <f t="shared" ref="T12:T16" si="7">IF(O12="","",(O12/$O$11)*50+50)</f>
        <v/>
      </c>
      <c r="U12" s="106" t="str">
        <f t="shared" ref="U12:U16" si="8">IF(P12="","",(P12/$P$11)*50+50)</f>
        <v/>
      </c>
      <c r="V12" s="106" t="str">
        <f t="shared" ref="V12:V16" si="9">IF(Q12="","",(Q12/$Q$11)*50+50)</f>
        <v/>
      </c>
      <c r="W12" s="106" t="str">
        <f t="shared" ref="W12:W16" si="10">IF(R12="","",(R12/$R$11)*50+50)</f>
        <v/>
      </c>
      <c r="X12" s="107" t="str">
        <f t="shared" ref="X12:X16" si="11">IFERROR(AVERAGE(S12:W12),"")</f>
        <v/>
      </c>
      <c r="Y12" s="103" t="str">
        <f>IF(Record!AQ5="","",Record!AQ5)</f>
        <v/>
      </c>
      <c r="Z12" s="107" t="str">
        <f t="shared" ref="Z12:Z16" si="12">IF(Y12="","",(Y12/$Y$11)*50+50)</f>
        <v/>
      </c>
      <c r="AA12" s="101" t="str">
        <f t="shared" ref="AA12:AA21" si="13">IFERROR((M12*0.4+X12*0.2+Z12*0.4),"")</f>
        <v/>
      </c>
      <c r="AB12" s="108" t="str">
        <f t="shared" ref="AB12:AB16" si="14">IF(AA12="","", IF(AA12="-","Dropped",IF(AA12&gt;=74.5,"Passed","Failed")))</f>
        <v/>
      </c>
    </row>
    <row r="13" spans="1:28" ht="16.5" customHeight="1" x14ac:dyDescent="0.25">
      <c r="A13" s="64">
        <f>IF(Record!A6="","",Record!A6)</f>
        <v>1</v>
      </c>
      <c r="B13" s="65" t="str">
        <f>IF(UPPER(Record!B6)="","",UPPER(Record!B6))</f>
        <v>STUDENT_1</v>
      </c>
      <c r="C13" s="66">
        <f>IF(Record!AG6="","",Record!AG6)</f>
        <v>12</v>
      </c>
      <c r="D13" s="67">
        <f>IF(Record!AH6="","",Record!AH6)</f>
        <v>14</v>
      </c>
      <c r="E13" s="67">
        <f>IF(Record!AI6="","",Record!AI6)</f>
        <v>12</v>
      </c>
      <c r="F13" s="67" t="str">
        <f>IF(Record!AJ6="","",Record!AJ6)</f>
        <v/>
      </c>
      <c r="G13" s="68" t="str">
        <f>IF(Record!AK6="","",Record!AK6)</f>
        <v/>
      </c>
      <c r="H13" s="6">
        <f t="shared" si="0"/>
        <v>90</v>
      </c>
      <c r="I13" s="6">
        <f t="shared" si="1"/>
        <v>96.666666666666657</v>
      </c>
      <c r="J13" s="6">
        <f t="shared" si="2"/>
        <v>90</v>
      </c>
      <c r="K13" s="6" t="str">
        <f t="shared" si="3"/>
        <v/>
      </c>
      <c r="L13" s="6" t="str">
        <f t="shared" si="4"/>
        <v/>
      </c>
      <c r="M13" s="7">
        <f t="shared" si="5"/>
        <v>92.222222222222214</v>
      </c>
      <c r="N13" s="66">
        <f>IF(Record!AL6="","",Record!AL6)</f>
        <v>9</v>
      </c>
      <c r="O13" s="67">
        <f>IF(Record!AM6="","",Record!AM6)</f>
        <v>10</v>
      </c>
      <c r="P13" s="67">
        <f>IF(Record!AN6="","",Record!AN6)</f>
        <v>6</v>
      </c>
      <c r="Q13" s="67" t="str">
        <f>IF(Record!AO6="","",Record!AO6)</f>
        <v/>
      </c>
      <c r="R13" s="69" t="str">
        <f>IF(Record!AP6="","",Record!AP6)</f>
        <v/>
      </c>
      <c r="S13" s="6">
        <f t="shared" si="6"/>
        <v>95</v>
      </c>
      <c r="T13" s="6">
        <f>IF(O13="","",(O13/$O$11)*50+50)</f>
        <v>100</v>
      </c>
      <c r="U13" s="6">
        <f t="shared" si="8"/>
        <v>80</v>
      </c>
      <c r="V13" s="6" t="str">
        <f t="shared" si="9"/>
        <v/>
      </c>
      <c r="W13" s="6" t="str">
        <f t="shared" si="10"/>
        <v/>
      </c>
      <c r="X13" s="7">
        <f t="shared" si="11"/>
        <v>91.666666666666671</v>
      </c>
      <c r="Y13" s="66">
        <f>IF(Record!AQ6="","",Record!AQ6)</f>
        <v>30</v>
      </c>
      <c r="Z13" s="7">
        <f t="shared" si="12"/>
        <v>92.857142857142861</v>
      </c>
      <c r="AA13" s="55">
        <f t="shared" si="13"/>
        <v>92.365079365079367</v>
      </c>
      <c r="AB13" s="8" t="str">
        <f t="shared" si="14"/>
        <v>Passed</v>
      </c>
    </row>
    <row r="14" spans="1:28" ht="16.5" customHeight="1" x14ac:dyDescent="0.25">
      <c r="A14" s="64">
        <f>IF(Record!A7="","",Record!A7)</f>
        <v>2</v>
      </c>
      <c r="B14" s="65" t="str">
        <f>IF(UPPER(Record!B7)="","",UPPER(Record!B7))</f>
        <v>STUDENT_2</v>
      </c>
      <c r="C14" s="66">
        <f>IF(Record!AG7="","",Record!AG7)</f>
        <v>11</v>
      </c>
      <c r="D14" s="67">
        <f>IF(Record!AH7="","",Record!AH7)</f>
        <v>11</v>
      </c>
      <c r="E14" s="67">
        <f>IF(Record!AI7="","",Record!AI7)</f>
        <v>13</v>
      </c>
      <c r="F14" s="67" t="str">
        <f>IF(Record!AJ7="","",Record!AJ7)</f>
        <v/>
      </c>
      <c r="G14" s="68" t="str">
        <f>IF(Record!AK7="","",Record!AK7)</f>
        <v/>
      </c>
      <c r="H14" s="6">
        <f t="shared" si="0"/>
        <v>86.666666666666657</v>
      </c>
      <c r="I14" s="6">
        <f t="shared" si="1"/>
        <v>86.666666666666657</v>
      </c>
      <c r="J14" s="6">
        <f t="shared" si="2"/>
        <v>93.333333333333343</v>
      </c>
      <c r="K14" s="6" t="str">
        <f t="shared" si="3"/>
        <v/>
      </c>
      <c r="L14" s="6" t="str">
        <f t="shared" si="4"/>
        <v/>
      </c>
      <c r="M14" s="7">
        <f t="shared" si="5"/>
        <v>88.888888888888872</v>
      </c>
      <c r="N14" s="66">
        <f>IF(Record!AL7="","",Record!AL7)</f>
        <v>8</v>
      </c>
      <c r="O14" s="67">
        <f>IF(Record!AM7="","",Record!AM7)</f>
        <v>7</v>
      </c>
      <c r="P14" s="67">
        <f>IF(Record!AN7="","",Record!AN7)</f>
        <v>6</v>
      </c>
      <c r="Q14" s="67" t="str">
        <f>IF(Record!AO7="","",Record!AO7)</f>
        <v/>
      </c>
      <c r="R14" s="69" t="str">
        <f>IF(Record!AP7="","",Record!AP7)</f>
        <v/>
      </c>
      <c r="S14" s="6">
        <f t="shared" si="6"/>
        <v>90</v>
      </c>
      <c r="T14" s="6">
        <f t="shared" si="7"/>
        <v>85</v>
      </c>
      <c r="U14" s="6">
        <f t="shared" si="8"/>
        <v>80</v>
      </c>
      <c r="V14" s="6" t="str">
        <f t="shared" si="9"/>
        <v/>
      </c>
      <c r="W14" s="6" t="str">
        <f t="shared" si="10"/>
        <v/>
      </c>
      <c r="X14" s="7">
        <f t="shared" si="11"/>
        <v>85</v>
      </c>
      <c r="Y14" s="66">
        <f>IF(Record!AQ7="","",Record!AQ7)</f>
        <v>27</v>
      </c>
      <c r="Z14" s="7">
        <f t="shared" si="12"/>
        <v>88.571428571428584</v>
      </c>
      <c r="AA14" s="55">
        <f t="shared" si="13"/>
        <v>87.984126984126988</v>
      </c>
      <c r="AB14" s="8" t="str">
        <f t="shared" si="14"/>
        <v>Passed</v>
      </c>
    </row>
    <row r="15" spans="1:28" ht="16.5" customHeight="1" x14ac:dyDescent="0.25">
      <c r="A15" s="64">
        <f>IF(Record!A8="","",Record!A8)</f>
        <v>3</v>
      </c>
      <c r="B15" s="65" t="str">
        <f>IF(UPPER(Record!B8)="","",UPPER(Record!B8))</f>
        <v>STUDENT_3</v>
      </c>
      <c r="C15" s="66">
        <f>IF(Record!AG8="","",Record!AG8)</f>
        <v>0</v>
      </c>
      <c r="D15" s="67">
        <f>IF(Record!AH8="","",Record!AH8)</f>
        <v>0</v>
      </c>
      <c r="E15" s="67">
        <f>IF(Record!AI8="","",Record!AI8)</f>
        <v>6</v>
      </c>
      <c r="F15" s="67" t="str">
        <f>IF(Record!AJ8="","",Record!AJ8)</f>
        <v/>
      </c>
      <c r="G15" s="68" t="str">
        <f>IF(Record!AK8="","",Record!AK8)</f>
        <v/>
      </c>
      <c r="H15" s="6">
        <f t="shared" si="0"/>
        <v>50</v>
      </c>
      <c r="I15" s="6">
        <f t="shared" si="1"/>
        <v>50</v>
      </c>
      <c r="J15" s="6">
        <f t="shared" si="2"/>
        <v>70</v>
      </c>
      <c r="K15" s="6" t="str">
        <f t="shared" si="3"/>
        <v/>
      </c>
      <c r="L15" s="6" t="str">
        <f t="shared" si="4"/>
        <v/>
      </c>
      <c r="M15" s="7">
        <f t="shared" si="5"/>
        <v>56.666666666666664</v>
      </c>
      <c r="N15" s="66">
        <f>IF(Record!AL8="","",Record!AL8)</f>
        <v>6</v>
      </c>
      <c r="O15" s="67">
        <f>IF(Record!AM8="","",Record!AM8)</f>
        <v>5</v>
      </c>
      <c r="P15" s="67">
        <f>IF(Record!AN8="","",Record!AN8)</f>
        <v>6</v>
      </c>
      <c r="Q15" s="67" t="str">
        <f>IF(Record!AO8="","",Record!AO8)</f>
        <v/>
      </c>
      <c r="R15" s="69" t="str">
        <f>IF(Record!AP8="","",Record!AP8)</f>
        <v/>
      </c>
      <c r="S15" s="6">
        <f t="shared" si="6"/>
        <v>80</v>
      </c>
      <c r="T15" s="6">
        <f t="shared" si="7"/>
        <v>75</v>
      </c>
      <c r="U15" s="6">
        <f t="shared" si="8"/>
        <v>80</v>
      </c>
      <c r="V15" s="6" t="str">
        <f t="shared" si="9"/>
        <v/>
      </c>
      <c r="W15" s="6" t="str">
        <f t="shared" si="10"/>
        <v/>
      </c>
      <c r="X15" s="7">
        <f t="shared" si="11"/>
        <v>78.333333333333329</v>
      </c>
      <c r="Y15" s="66">
        <f>IF(Record!AQ8="","",Record!AQ8)</f>
        <v>19</v>
      </c>
      <c r="Z15" s="7">
        <f t="shared" si="12"/>
        <v>77.142857142857139</v>
      </c>
      <c r="AA15" s="55">
        <f t="shared" si="13"/>
        <v>69.19047619047619</v>
      </c>
      <c r="AB15" s="8" t="str">
        <f t="shared" si="14"/>
        <v>Failed</v>
      </c>
    </row>
    <row r="16" spans="1:28" ht="16.5" customHeight="1" x14ac:dyDescent="0.25">
      <c r="A16" s="64">
        <f>IF(Record!A9="","",Record!A9)</f>
        <v>4</v>
      </c>
      <c r="B16" s="65" t="str">
        <f>IF(UPPER(Record!B9)="","",UPPER(Record!B9))</f>
        <v>STUDENT_4</v>
      </c>
      <c r="C16" s="66">
        <f>IF(Record!AG9="","",Record!AG9)</f>
        <v>11</v>
      </c>
      <c r="D16" s="67">
        <f>IF(Record!AH9="","",Record!AH9)</f>
        <v>13</v>
      </c>
      <c r="E16" s="67">
        <f>IF(Record!AI9="","",Record!AI9)</f>
        <v>12</v>
      </c>
      <c r="F16" s="67" t="str">
        <f>IF(Record!AJ9="","",Record!AJ9)</f>
        <v/>
      </c>
      <c r="G16" s="68" t="str">
        <f>IF(Record!AK9="","",Record!AK9)</f>
        <v/>
      </c>
      <c r="H16" s="6">
        <f t="shared" si="0"/>
        <v>86.666666666666657</v>
      </c>
      <c r="I16" s="6">
        <f t="shared" si="1"/>
        <v>93.333333333333343</v>
      </c>
      <c r="J16" s="6">
        <f t="shared" si="2"/>
        <v>90</v>
      </c>
      <c r="K16" s="6" t="str">
        <f t="shared" si="3"/>
        <v/>
      </c>
      <c r="L16" s="6" t="str">
        <f t="shared" si="4"/>
        <v/>
      </c>
      <c r="M16" s="7">
        <f t="shared" si="5"/>
        <v>90</v>
      </c>
      <c r="N16" s="66">
        <f>IF(Record!AL9="","",Record!AL9)</f>
        <v>9</v>
      </c>
      <c r="O16" s="67">
        <f>IF(Record!AM9="","",Record!AM9)</f>
        <v>9</v>
      </c>
      <c r="P16" s="67">
        <f>IF(Record!AN9="","",Record!AN9)</f>
        <v>6</v>
      </c>
      <c r="Q16" s="67" t="str">
        <f>IF(Record!AO9="","",Record!AO9)</f>
        <v/>
      </c>
      <c r="R16" s="69" t="str">
        <f>IF(Record!AP9="","",Record!AP9)</f>
        <v/>
      </c>
      <c r="S16" s="6">
        <f t="shared" si="6"/>
        <v>95</v>
      </c>
      <c r="T16" s="6">
        <f t="shared" si="7"/>
        <v>95</v>
      </c>
      <c r="U16" s="6">
        <f t="shared" si="8"/>
        <v>80</v>
      </c>
      <c r="V16" s="6" t="str">
        <f t="shared" si="9"/>
        <v/>
      </c>
      <c r="W16" s="6" t="str">
        <f t="shared" si="10"/>
        <v/>
      </c>
      <c r="X16" s="7">
        <f t="shared" si="11"/>
        <v>90</v>
      </c>
      <c r="Y16" s="66">
        <f>IF(Record!AQ9="","",Record!AQ9)</f>
        <v>30</v>
      </c>
      <c r="Z16" s="7">
        <f t="shared" si="12"/>
        <v>92.857142857142861</v>
      </c>
      <c r="AA16" s="55">
        <f t="shared" si="13"/>
        <v>91.142857142857139</v>
      </c>
      <c r="AB16" s="8" t="str">
        <f t="shared" si="14"/>
        <v>Passed</v>
      </c>
    </row>
    <row r="17" spans="1:28" ht="16.5" customHeight="1" x14ac:dyDescent="0.25">
      <c r="A17" s="64">
        <f>IF(Record!A10="","",Record!A10)</f>
        <v>5</v>
      </c>
      <c r="B17" s="65" t="str">
        <f>IF(UPPER(Record!B10)="","",UPPER(Record!B10))</f>
        <v>STUDENT_5</v>
      </c>
      <c r="C17" s="66">
        <f>IF(Record!AG10="","",Record!AG10)</f>
        <v>8</v>
      </c>
      <c r="D17" s="67">
        <f>IF(Record!AH10="","",Record!AH10)</f>
        <v>9</v>
      </c>
      <c r="E17" s="67">
        <f>IF(Record!AI10="","",Record!AI10)</f>
        <v>10</v>
      </c>
      <c r="F17" s="67" t="str">
        <f>IF(Record!AJ10="","",Record!AJ10)</f>
        <v/>
      </c>
      <c r="G17" s="68" t="str">
        <f>IF(Record!AK10="","",Record!AK10)</f>
        <v/>
      </c>
      <c r="H17" s="6">
        <f t="shared" ref="H17" si="15">IF(C17="","",(C17/$C$11)*50+50)</f>
        <v>76.666666666666671</v>
      </c>
      <c r="I17" s="6">
        <f t="shared" ref="I17" si="16">IF(D17="","",(D17/$D$11)*50+50)</f>
        <v>80</v>
      </c>
      <c r="J17" s="6">
        <f t="shared" ref="J17" si="17">IF(E17="","",(E17/$E$11)*50+50)</f>
        <v>83.333333333333329</v>
      </c>
      <c r="K17" s="6" t="str">
        <f t="shared" ref="K17" si="18">IF(F17="","",(F17/$F$11)*50+50)</f>
        <v/>
      </c>
      <c r="L17" s="6" t="str">
        <f t="shared" ref="L17" si="19">IF(G17="","",(G17/$G$11)*50+50)</f>
        <v/>
      </c>
      <c r="M17" s="7">
        <f t="shared" ref="M17" si="20">IFERROR(AVERAGE(H17:L17),"")</f>
        <v>80</v>
      </c>
      <c r="N17" s="66">
        <f>IF(Record!AL10="","",Record!AL10)</f>
        <v>0</v>
      </c>
      <c r="O17" s="67">
        <f>IF(Record!AM10="","",Record!AM10)</f>
        <v>7</v>
      </c>
      <c r="P17" s="67">
        <f>IF(Record!AN10="","",Record!AN10)</f>
        <v>10</v>
      </c>
      <c r="Q17" s="67" t="str">
        <f>IF(Record!AO10="","",Record!AO10)</f>
        <v/>
      </c>
      <c r="R17" s="69" t="str">
        <f>IF(Record!AP10="","",Record!AP10)</f>
        <v/>
      </c>
      <c r="S17" s="6">
        <f t="shared" ref="S17" si="21">IF(N17="","",(N17/$N$11)*50+50)</f>
        <v>50</v>
      </c>
      <c r="T17" s="6">
        <f>IF(O17="","",(O17/$O$11)*50+50)</f>
        <v>85</v>
      </c>
      <c r="U17" s="6">
        <f t="shared" ref="U17" si="22">IF(P17="","",(P17/$P$11)*50+50)</f>
        <v>100</v>
      </c>
      <c r="V17" s="6" t="str">
        <f t="shared" ref="V17" si="23">IF(Q17="","",(Q17/$Q$11)*50+50)</f>
        <v/>
      </c>
      <c r="W17" s="6" t="str">
        <f t="shared" ref="W17" si="24">IF(R17="","",(R17/$R$11)*50+50)</f>
        <v/>
      </c>
      <c r="X17" s="7">
        <f t="shared" ref="X17" si="25">IFERROR(AVERAGE(S17:W17),"")</f>
        <v>78.333333333333329</v>
      </c>
      <c r="Y17" s="66">
        <f>IF(Record!AQ10="","",Record!AQ10)</f>
        <v>20</v>
      </c>
      <c r="Z17" s="7">
        <f t="shared" ref="Z17" si="26">IF(Y17="","",(Y17/$Y$11)*50+50)</f>
        <v>78.571428571428569</v>
      </c>
      <c r="AA17" s="55">
        <f t="shared" si="13"/>
        <v>79.095238095238102</v>
      </c>
      <c r="AB17" s="8" t="str">
        <f t="shared" ref="AB17" si="27">IF(AA17="","", IF(AA17="-","Dropped",IF(AA17&gt;=74.5,"Passed","Failed")))</f>
        <v>Passed</v>
      </c>
    </row>
    <row r="18" spans="1:28" ht="16.5" customHeight="1" x14ac:dyDescent="0.25">
      <c r="A18" s="64">
        <f>IF(Record!A11="","",Record!A11)</f>
        <v>6</v>
      </c>
      <c r="B18" s="65" t="str">
        <f>IF(UPPER(Record!B11)="","",UPPER(Record!B11))</f>
        <v>STUDENT_6</v>
      </c>
      <c r="C18" s="66">
        <f>IF(Record!AG11="","",Record!AG11)</f>
        <v>5</v>
      </c>
      <c r="D18" s="67">
        <f>IF(Record!AH11="","",Record!AH11)</f>
        <v>7</v>
      </c>
      <c r="E18" s="67">
        <f>IF(Record!AI11="","",Record!AI11)</f>
        <v>9</v>
      </c>
      <c r="F18" s="67" t="str">
        <f>IF(Record!AJ11="","",Record!AJ11)</f>
        <v/>
      </c>
      <c r="G18" s="68" t="str">
        <f>IF(Record!AK11="","",Record!AK11)</f>
        <v/>
      </c>
      <c r="H18" s="6">
        <f t="shared" ref="H18:H22" si="28">IF(C18="","",(C18/$C$11)*50+50)</f>
        <v>66.666666666666657</v>
      </c>
      <c r="I18" s="6">
        <f t="shared" ref="I18:I22" si="29">IF(D18="","",(D18/$D$11)*50+50)</f>
        <v>73.333333333333329</v>
      </c>
      <c r="J18" s="6">
        <f t="shared" ref="J18:J22" si="30">IF(E18="","",(E18/$E$11)*50+50)</f>
        <v>80</v>
      </c>
      <c r="K18" s="6" t="str">
        <f t="shared" ref="K18:K22" si="31">IF(F18="","",(F18/$F$11)*50+50)</f>
        <v/>
      </c>
      <c r="L18" s="6" t="str">
        <f t="shared" ref="L18:L22" si="32">IF(G18="","",(G18/$G$11)*50+50)</f>
        <v/>
      </c>
      <c r="M18" s="7">
        <f t="shared" ref="M18:M22" si="33">IFERROR(AVERAGE(H18:L18),"")</f>
        <v>73.333333333333329</v>
      </c>
      <c r="N18" s="66">
        <f>IF(Record!AL11="","",Record!AL11)</f>
        <v>8</v>
      </c>
      <c r="O18" s="67">
        <f>IF(Record!AM11="","",Record!AM11)</f>
        <v>4</v>
      </c>
      <c r="P18" s="67">
        <f>IF(Record!AN11="","",Record!AN11)</f>
        <v>3</v>
      </c>
      <c r="Q18" s="67" t="str">
        <f>IF(Record!AO11="","",Record!AO11)</f>
        <v/>
      </c>
      <c r="R18" s="69" t="str">
        <f>IF(Record!AP11="","",Record!AP11)</f>
        <v/>
      </c>
      <c r="S18" s="6">
        <f t="shared" ref="S18:S22" si="34">IF(N18="","",(N18/$N$11)*50+50)</f>
        <v>90</v>
      </c>
      <c r="T18" s="6">
        <f t="shared" ref="T18:T22" si="35">IF(O18="","",(O18/$O$11)*50+50)</f>
        <v>70</v>
      </c>
      <c r="U18" s="6">
        <f t="shared" ref="U18:U22" si="36">IF(P18="","",(P18/$P$11)*50+50)</f>
        <v>65</v>
      </c>
      <c r="V18" s="6" t="str">
        <f t="shared" ref="V18:V22" si="37">IF(Q18="","",(Q18/$Q$11)*50+50)</f>
        <v/>
      </c>
      <c r="W18" s="6" t="str">
        <f t="shared" ref="W18:W22" si="38">IF(R18="","",(R18/$R$11)*50+50)</f>
        <v/>
      </c>
      <c r="X18" s="7">
        <f t="shared" ref="X18:X22" si="39">IFERROR(AVERAGE(S18:W18),"")</f>
        <v>75</v>
      </c>
      <c r="Y18" s="66">
        <f>IF(Record!AQ11="","",Record!AQ11)</f>
        <v>18</v>
      </c>
      <c r="Z18" s="7">
        <f t="shared" ref="Z18:Z22" si="40">IF(Y18="","",(Y18/$Y$11)*50+50)</f>
        <v>75.714285714285708</v>
      </c>
      <c r="AA18" s="55">
        <f t="shared" si="13"/>
        <v>74.61904761904762</v>
      </c>
      <c r="AB18" s="8" t="str">
        <f t="shared" ref="AB18:AB22" si="41">IF(AA18="","", IF(AA18="-","Dropped",IF(AA18&gt;=74.5,"Passed","Failed")))</f>
        <v>Passed</v>
      </c>
    </row>
    <row r="19" spans="1:28" ht="16.5" customHeight="1" x14ac:dyDescent="0.25">
      <c r="A19" s="64">
        <f>IF(Record!A12="","",Record!A12)</f>
        <v>7</v>
      </c>
      <c r="B19" s="65" t="str">
        <f>IF(UPPER(Record!B12)="","",UPPER(Record!B12))</f>
        <v>STUDENT_7</v>
      </c>
      <c r="C19" s="66">
        <f>IF(Record!AG12="","",Record!AG12)</f>
        <v>12</v>
      </c>
      <c r="D19" s="67">
        <f>IF(Record!AH12="","",Record!AH12)</f>
        <v>9</v>
      </c>
      <c r="E19" s="67">
        <f>IF(Record!AI12="","",Record!AI12)</f>
        <v>13</v>
      </c>
      <c r="F19" s="67" t="str">
        <f>IF(Record!AJ12="","",Record!AJ12)</f>
        <v/>
      </c>
      <c r="G19" s="68" t="str">
        <f>IF(Record!AK12="","",Record!AK12)</f>
        <v/>
      </c>
      <c r="H19" s="6">
        <f t="shared" si="28"/>
        <v>90</v>
      </c>
      <c r="I19" s="6">
        <f t="shared" si="29"/>
        <v>80</v>
      </c>
      <c r="J19" s="6">
        <f t="shared" si="30"/>
        <v>93.333333333333343</v>
      </c>
      <c r="K19" s="6" t="str">
        <f t="shared" si="31"/>
        <v/>
      </c>
      <c r="L19" s="6" t="str">
        <f t="shared" si="32"/>
        <v/>
      </c>
      <c r="M19" s="7">
        <f t="shared" si="33"/>
        <v>87.777777777777786</v>
      </c>
      <c r="N19" s="66">
        <f>IF(Record!AL12="","",Record!AL12)</f>
        <v>9</v>
      </c>
      <c r="O19" s="67">
        <f>IF(Record!AM12="","",Record!AM12)</f>
        <v>7</v>
      </c>
      <c r="P19" s="67">
        <f>IF(Record!AN12="","",Record!AN12)</f>
        <v>6</v>
      </c>
      <c r="Q19" s="67" t="str">
        <f>IF(Record!AO12="","",Record!AO12)</f>
        <v/>
      </c>
      <c r="R19" s="69" t="str">
        <f>IF(Record!AP12="","",Record!AP12)</f>
        <v/>
      </c>
      <c r="S19" s="6">
        <f t="shared" si="34"/>
        <v>95</v>
      </c>
      <c r="T19" s="6">
        <f t="shared" si="35"/>
        <v>85</v>
      </c>
      <c r="U19" s="6">
        <f t="shared" si="36"/>
        <v>80</v>
      </c>
      <c r="V19" s="6" t="str">
        <f t="shared" si="37"/>
        <v/>
      </c>
      <c r="W19" s="6" t="str">
        <f t="shared" si="38"/>
        <v/>
      </c>
      <c r="X19" s="7">
        <f t="shared" si="39"/>
        <v>86.666666666666671</v>
      </c>
      <c r="Y19" s="66">
        <f>IF(Record!AQ12="","",Record!AQ12)</f>
        <v>31</v>
      </c>
      <c r="Z19" s="7">
        <f t="shared" si="40"/>
        <v>94.285714285714278</v>
      </c>
      <c r="AA19" s="55">
        <f t="shared" si="13"/>
        <v>90.158730158730165</v>
      </c>
      <c r="AB19" s="8" t="str">
        <f t="shared" si="41"/>
        <v>Passed</v>
      </c>
    </row>
    <row r="20" spans="1:28" ht="16.5" customHeight="1" x14ac:dyDescent="0.25">
      <c r="A20" s="64">
        <f>IF(Record!A13="","",Record!A13)</f>
        <v>8</v>
      </c>
      <c r="B20" s="65" t="str">
        <f>IF(UPPER(Record!B13)="","",UPPER(Record!B13))</f>
        <v>STUDENT_8</v>
      </c>
      <c r="C20" s="66">
        <f>IF(Record!AG13="","",Record!AG13)</f>
        <v>8</v>
      </c>
      <c r="D20" s="67">
        <f>IF(Record!AH13="","",Record!AH13)</f>
        <v>12</v>
      </c>
      <c r="E20" s="67">
        <f>IF(Record!AI13="","",Record!AI13)</f>
        <v>11</v>
      </c>
      <c r="F20" s="67" t="str">
        <f>IF(Record!AJ13="","",Record!AJ13)</f>
        <v/>
      </c>
      <c r="G20" s="68" t="str">
        <f>IF(Record!AK13="","",Record!AK13)</f>
        <v/>
      </c>
      <c r="H20" s="6">
        <f t="shared" ref="H20" si="42">IF(C20="","",(C20/$C$11)*50+50)</f>
        <v>76.666666666666671</v>
      </c>
      <c r="I20" s="6">
        <f t="shared" ref="I20" si="43">IF(D20="","",(D20/$D$11)*50+50)</f>
        <v>90</v>
      </c>
      <c r="J20" s="6">
        <f t="shared" ref="J20" si="44">IF(E20="","",(E20/$E$11)*50+50)</f>
        <v>86.666666666666657</v>
      </c>
      <c r="K20" s="6" t="str">
        <f t="shared" ref="K20" si="45">IF(F20="","",(F20/$F$11)*50+50)</f>
        <v/>
      </c>
      <c r="L20" s="6" t="str">
        <f t="shared" ref="L20" si="46">IF(G20="","",(G20/$G$11)*50+50)</f>
        <v/>
      </c>
      <c r="M20" s="7">
        <f t="shared" ref="M20" si="47">IFERROR(AVERAGE(H20:L20),"")</f>
        <v>84.444444444444443</v>
      </c>
      <c r="N20" s="66">
        <f>IF(Record!AL13="","",Record!AL13)</f>
        <v>9</v>
      </c>
      <c r="O20" s="67">
        <f>IF(Record!AM13="","",Record!AM13)</f>
        <v>9</v>
      </c>
      <c r="P20" s="67">
        <f>IF(Record!AN13="","",Record!AN13)</f>
        <v>10</v>
      </c>
      <c r="Q20" s="67" t="str">
        <f>IF(Record!AO13="","",Record!AO13)</f>
        <v/>
      </c>
      <c r="R20" s="69" t="str">
        <f>IF(Record!AP13="","",Record!AP13)</f>
        <v/>
      </c>
      <c r="S20" s="6">
        <f t="shared" ref="S20" si="48">IF(N20="","",(N20/$N$11)*50+50)</f>
        <v>95</v>
      </c>
      <c r="T20" s="6">
        <f t="shared" ref="T20" si="49">IF(O20="","",(O20/$O$11)*50+50)</f>
        <v>95</v>
      </c>
      <c r="U20" s="6">
        <f t="shared" ref="U20" si="50">IF(P20="","",(P20/$P$11)*50+50)</f>
        <v>100</v>
      </c>
      <c r="V20" s="6" t="str">
        <f t="shared" ref="V20" si="51">IF(Q20="","",(Q20/$Q$11)*50+50)</f>
        <v/>
      </c>
      <c r="W20" s="6" t="str">
        <f t="shared" ref="W20" si="52">IF(R20="","",(R20/$R$11)*50+50)</f>
        <v/>
      </c>
      <c r="X20" s="7">
        <f t="shared" ref="X20" si="53">IFERROR(AVERAGE(S20:W20),"")</f>
        <v>96.666666666666671</v>
      </c>
      <c r="Y20" s="66">
        <f>IF(Record!AQ13="","",Record!AQ13)</f>
        <v>30</v>
      </c>
      <c r="Z20" s="7">
        <f t="shared" ref="Z20" si="54">IF(Y20="","",(Y20/$Y$11)*50+50)</f>
        <v>92.857142857142861</v>
      </c>
      <c r="AA20" s="55">
        <f t="shared" ref="AA20" si="55">IFERROR((M20*0.4+X20*0.2+Z20*0.4),"")</f>
        <v>90.253968253968253</v>
      </c>
      <c r="AB20" s="8" t="str">
        <f t="shared" ref="AB20" si="56">IF(AA20="","", IF(AA20="-","Dropped",IF(AA20&gt;=74.5,"Passed","Failed")))</f>
        <v>Passed</v>
      </c>
    </row>
    <row r="21" spans="1:28" ht="16.5" customHeight="1" x14ac:dyDescent="0.25">
      <c r="A21" s="64">
        <f>IF(Record!A14="","",Record!A14)</f>
        <v>9</v>
      </c>
      <c r="B21" s="65" t="str">
        <f>IF(UPPER(Record!B14)="","",UPPER(Record!B14))</f>
        <v>STUDENT_9</v>
      </c>
      <c r="C21" s="66">
        <f>IF(Record!AG14="","",Record!AG14)</f>
        <v>10</v>
      </c>
      <c r="D21" s="67">
        <f>IF(Record!AH14="","",Record!AH14)</f>
        <v>8</v>
      </c>
      <c r="E21" s="67">
        <f>IF(Record!AI14="","",Record!AI14)</f>
        <v>11</v>
      </c>
      <c r="F21" s="67" t="str">
        <f>IF(Record!AJ14="","",Record!AJ14)</f>
        <v/>
      </c>
      <c r="G21" s="68" t="str">
        <f>IF(Record!AK14="","",Record!AK14)</f>
        <v/>
      </c>
      <c r="H21" s="6">
        <f t="shared" si="28"/>
        <v>83.333333333333329</v>
      </c>
      <c r="I21" s="6">
        <f t="shared" si="29"/>
        <v>76.666666666666671</v>
      </c>
      <c r="J21" s="6">
        <f t="shared" si="30"/>
        <v>86.666666666666657</v>
      </c>
      <c r="K21" s="6" t="str">
        <f t="shared" si="31"/>
        <v/>
      </c>
      <c r="L21" s="6" t="str">
        <f t="shared" si="32"/>
        <v/>
      </c>
      <c r="M21" s="7">
        <f t="shared" si="33"/>
        <v>82.222222222222214</v>
      </c>
      <c r="N21" s="66">
        <f>IF(Record!AL14="","",Record!AL14)</f>
        <v>8</v>
      </c>
      <c r="O21" s="67">
        <f>IF(Record!AM14="","",Record!AM14)</f>
        <v>8</v>
      </c>
      <c r="P21" s="67">
        <f>IF(Record!AN14="","",Record!AN14)</f>
        <v>4</v>
      </c>
      <c r="Q21" s="67" t="str">
        <f>IF(Record!AO14="","",Record!AO14)</f>
        <v/>
      </c>
      <c r="R21" s="69" t="str">
        <f>IF(Record!AP14="","",Record!AP14)</f>
        <v/>
      </c>
      <c r="S21" s="6">
        <f t="shared" si="34"/>
        <v>90</v>
      </c>
      <c r="T21" s="6">
        <f t="shared" si="35"/>
        <v>90</v>
      </c>
      <c r="U21" s="6">
        <f t="shared" si="36"/>
        <v>70</v>
      </c>
      <c r="V21" s="6" t="str">
        <f t="shared" si="37"/>
        <v/>
      </c>
      <c r="W21" s="6" t="str">
        <f t="shared" si="38"/>
        <v/>
      </c>
      <c r="X21" s="7">
        <f t="shared" si="39"/>
        <v>83.333333333333329</v>
      </c>
      <c r="Y21" s="66">
        <f>IF(Record!AQ14="","",Record!AQ14)</f>
        <v>25</v>
      </c>
      <c r="Z21" s="7">
        <f t="shared" si="40"/>
        <v>85.714285714285722</v>
      </c>
      <c r="AA21" s="55">
        <f t="shared" si="13"/>
        <v>83.841269841269849</v>
      </c>
      <c r="AB21" s="8" t="str">
        <f t="shared" si="41"/>
        <v>Passed</v>
      </c>
    </row>
    <row r="22" spans="1:28" ht="16.5" customHeight="1" x14ac:dyDescent="0.25">
      <c r="A22" s="64">
        <f>IF(Record!A15="","",Record!A15)</f>
        <v>10</v>
      </c>
      <c r="B22" s="65" t="str">
        <f>IF(UPPER(Record!B15)="","",UPPER(Record!B15))</f>
        <v>STUDENT_10</v>
      </c>
      <c r="C22" s="66">
        <f>IF(Record!AG15="","",Record!AG15)</f>
        <v>6</v>
      </c>
      <c r="D22" s="67">
        <f>IF(Record!AH15="","",Record!AH15)</f>
        <v>3</v>
      </c>
      <c r="E22" s="67">
        <f>IF(Record!AI15="","",Record!AI15)</f>
        <v>7</v>
      </c>
      <c r="F22" s="67" t="str">
        <f>IF(Record!AJ15="","",Record!AJ15)</f>
        <v/>
      </c>
      <c r="G22" s="68" t="str">
        <f>IF(Record!AK15="","",Record!AK15)</f>
        <v/>
      </c>
      <c r="H22" s="6">
        <f t="shared" si="28"/>
        <v>70</v>
      </c>
      <c r="I22" s="6">
        <f t="shared" si="29"/>
        <v>60</v>
      </c>
      <c r="J22" s="6">
        <f t="shared" si="30"/>
        <v>73.333333333333329</v>
      </c>
      <c r="K22" s="6" t="str">
        <f t="shared" si="31"/>
        <v/>
      </c>
      <c r="L22" s="6" t="str">
        <f t="shared" si="32"/>
        <v/>
      </c>
      <c r="M22" s="7">
        <f t="shared" si="33"/>
        <v>67.777777777777771</v>
      </c>
      <c r="N22" s="66">
        <f>IF(Record!AL15="","",Record!AL15)</f>
        <v>5</v>
      </c>
      <c r="O22" s="67">
        <f>IF(Record!AM15="","",Record!AM15)</f>
        <v>5</v>
      </c>
      <c r="P22" s="67">
        <f>IF(Record!AN15="","",Record!AN15)</f>
        <v>5</v>
      </c>
      <c r="Q22" s="67" t="str">
        <f>IF(Record!AO15="","",Record!AO15)</f>
        <v/>
      </c>
      <c r="R22" s="69" t="str">
        <f>IF(Record!AP15="","",Record!AP15)</f>
        <v/>
      </c>
      <c r="S22" s="6">
        <f t="shared" si="34"/>
        <v>75</v>
      </c>
      <c r="T22" s="6">
        <f t="shared" si="35"/>
        <v>75</v>
      </c>
      <c r="U22" s="6">
        <f t="shared" si="36"/>
        <v>75</v>
      </c>
      <c r="V22" s="6" t="str">
        <f t="shared" si="37"/>
        <v/>
      </c>
      <c r="W22" s="6" t="str">
        <f t="shared" si="38"/>
        <v/>
      </c>
      <c r="X22" s="7">
        <f t="shared" si="39"/>
        <v>75</v>
      </c>
      <c r="Y22" s="66">
        <f>IF(Record!AQ15="","",Record!AQ15)</f>
        <v>22</v>
      </c>
      <c r="Z22" s="7">
        <f t="shared" si="40"/>
        <v>81.428571428571431</v>
      </c>
      <c r="AA22" s="55">
        <f t="shared" ref="AA22" si="57">IFERROR((M22*0.4+X22*0.2+Z22*0.4),"")</f>
        <v>74.682539682539698</v>
      </c>
      <c r="AB22" s="8" t="str">
        <f t="shared" si="41"/>
        <v>Passed</v>
      </c>
    </row>
    <row r="23" spans="1:28" s="13" customFormat="1" ht="15" customHeight="1" thickBot="1" x14ac:dyDescent="0.3">
      <c r="A23" s="121"/>
      <c r="B23" s="122"/>
      <c r="C23" s="123"/>
      <c r="D23" s="124"/>
      <c r="E23" s="124"/>
      <c r="F23" s="124"/>
      <c r="G23" s="125"/>
      <c r="H23" s="126"/>
      <c r="I23" s="126"/>
      <c r="J23" s="126"/>
      <c r="K23" s="126"/>
      <c r="L23" s="126"/>
      <c r="M23" s="127"/>
      <c r="N23" s="123"/>
      <c r="O23" s="124"/>
      <c r="P23" s="124"/>
      <c r="Q23" s="124"/>
      <c r="R23" s="128"/>
      <c r="S23" s="126"/>
      <c r="T23" s="126"/>
      <c r="U23" s="126"/>
      <c r="V23" s="126"/>
      <c r="W23" s="126"/>
      <c r="X23" s="127"/>
      <c r="Y23" s="123"/>
      <c r="Z23" s="127"/>
      <c r="AA23" s="129"/>
      <c r="AB23" s="130"/>
    </row>
    <row r="24" spans="1:28" s="13" customFormat="1" ht="15" customHeight="1" x14ac:dyDescent="0.25">
      <c r="A24" s="78"/>
      <c r="B24" s="79"/>
      <c r="C24" s="80"/>
      <c r="D24" s="80"/>
      <c r="E24" s="80"/>
      <c r="F24" s="80"/>
      <c r="G24" s="80"/>
      <c r="H24" s="10"/>
      <c r="I24" s="10"/>
      <c r="J24" s="10"/>
      <c r="K24" s="10"/>
      <c r="L24" s="10"/>
      <c r="M24" s="10"/>
      <c r="N24" s="80"/>
      <c r="O24" s="80"/>
      <c r="P24" s="80"/>
      <c r="Q24" s="80"/>
      <c r="R24" s="41"/>
      <c r="S24" s="10"/>
      <c r="T24" s="10"/>
      <c r="U24" s="10"/>
      <c r="V24" s="10"/>
      <c r="W24" s="10"/>
      <c r="X24" s="10"/>
      <c r="Y24" s="80"/>
      <c r="Z24" s="10"/>
      <c r="AA24" s="94"/>
      <c r="AB24" s="12"/>
    </row>
    <row r="25" spans="1:28" s="13" customFormat="1" ht="15" customHeight="1" x14ac:dyDescent="0.25">
      <c r="A25" s="78"/>
      <c r="B25" s="79"/>
      <c r="C25" s="80"/>
      <c r="D25" s="80"/>
      <c r="E25" s="80"/>
      <c r="F25" s="80"/>
      <c r="G25" s="80"/>
      <c r="H25" s="10"/>
      <c r="I25" s="10"/>
      <c r="J25" s="10"/>
      <c r="K25" s="10"/>
      <c r="L25" s="10"/>
      <c r="M25" s="10"/>
      <c r="N25" s="80"/>
      <c r="O25" s="80"/>
      <c r="P25" s="80"/>
      <c r="Q25" s="80"/>
      <c r="R25" s="41"/>
      <c r="S25" s="10"/>
      <c r="T25" s="10"/>
      <c r="U25" s="10"/>
      <c r="V25" s="10"/>
      <c r="W25" s="10"/>
      <c r="X25" s="10"/>
      <c r="Y25" s="80"/>
      <c r="Z25" s="10"/>
      <c r="AA25" s="94"/>
      <c r="AB25" s="12"/>
    </row>
    <row r="26" spans="1:28" s="13" customFormat="1" ht="15" customHeight="1" x14ac:dyDescent="0.25">
      <c r="A26" s="78"/>
      <c r="B26" s="79"/>
      <c r="C26" s="80"/>
      <c r="D26" s="80"/>
      <c r="E26" s="80"/>
      <c r="F26" s="80"/>
      <c r="G26" s="80"/>
      <c r="H26" s="10"/>
      <c r="I26" s="10"/>
      <c r="J26" s="10"/>
      <c r="K26" s="10"/>
      <c r="L26" s="10"/>
      <c r="M26" s="10"/>
      <c r="N26" s="80"/>
      <c r="O26" s="80"/>
      <c r="P26" s="80"/>
      <c r="Q26" s="80"/>
      <c r="R26" s="41"/>
      <c r="S26" s="10"/>
      <c r="T26" s="10"/>
      <c r="U26" s="10"/>
      <c r="V26" s="10"/>
      <c r="W26" s="10"/>
      <c r="X26" s="10"/>
      <c r="Y26" s="80"/>
      <c r="Z26" s="10"/>
      <c r="AA26" s="94"/>
      <c r="AB26" s="12"/>
    </row>
    <row r="27" spans="1:28" s="13" customFormat="1" ht="15" customHeight="1" x14ac:dyDescent="0.25">
      <c r="A27" s="78"/>
      <c r="B27" s="79"/>
      <c r="C27" s="80"/>
      <c r="D27" s="80"/>
      <c r="E27" s="80"/>
      <c r="F27" s="80"/>
      <c r="G27" s="80"/>
      <c r="H27" s="10"/>
      <c r="I27" s="10"/>
      <c r="J27" s="10"/>
      <c r="K27" s="10"/>
      <c r="L27" s="10"/>
      <c r="M27" s="10"/>
      <c r="N27" s="80"/>
      <c r="O27" s="80"/>
      <c r="P27" s="80"/>
      <c r="Q27" s="80"/>
      <c r="R27" s="41"/>
      <c r="S27" s="10"/>
      <c r="T27" s="10"/>
      <c r="U27" s="10"/>
      <c r="V27" s="10"/>
      <c r="W27" s="10"/>
      <c r="X27" s="10"/>
      <c r="Y27" s="80"/>
      <c r="Z27" s="10"/>
      <c r="AA27" s="94"/>
      <c r="AB27" s="12"/>
    </row>
    <row r="28" spans="1:28" s="13" customFormat="1" ht="15" customHeight="1" x14ac:dyDescent="0.25">
      <c r="A28" s="78"/>
      <c r="B28" s="79"/>
      <c r="C28" s="80"/>
      <c r="D28" s="80"/>
      <c r="E28" s="80"/>
      <c r="F28" s="80"/>
      <c r="G28" s="80"/>
      <c r="H28" s="10"/>
      <c r="I28" s="10"/>
      <c r="J28" s="10"/>
      <c r="K28" s="10"/>
      <c r="L28" s="10"/>
      <c r="M28" s="10"/>
      <c r="N28" s="80"/>
      <c r="O28" s="80"/>
      <c r="P28" s="80"/>
      <c r="Q28" s="80"/>
      <c r="R28" s="41"/>
      <c r="S28" s="10"/>
      <c r="T28" s="10"/>
      <c r="U28" s="10"/>
      <c r="V28" s="10"/>
      <c r="W28" s="10"/>
      <c r="X28" s="10"/>
      <c r="Y28" s="80"/>
      <c r="Z28" s="10"/>
      <c r="AA28" s="94"/>
      <c r="AB28" s="12"/>
    </row>
    <row r="29" spans="1:28" s="13" customFormat="1" ht="15" customHeight="1" x14ac:dyDescent="0.25">
      <c r="A29" s="78"/>
      <c r="B29" s="79"/>
      <c r="C29" s="80"/>
      <c r="D29" s="80"/>
      <c r="E29" s="80"/>
      <c r="F29" s="80"/>
      <c r="G29" s="80"/>
      <c r="H29" s="10"/>
      <c r="I29" s="10"/>
      <c r="J29" s="10"/>
      <c r="K29" s="10"/>
      <c r="L29" s="10"/>
      <c r="M29" s="10"/>
      <c r="N29" s="80"/>
      <c r="O29" s="80"/>
      <c r="P29" s="80"/>
      <c r="Q29" s="80"/>
      <c r="R29" s="41"/>
      <c r="S29" s="10"/>
      <c r="T29" s="10"/>
      <c r="U29" s="10"/>
      <c r="V29" s="10"/>
      <c r="W29" s="10"/>
      <c r="X29" s="10"/>
      <c r="Y29" s="80"/>
      <c r="Z29" s="10"/>
      <c r="AA29" s="94"/>
      <c r="AB29" s="12"/>
    </row>
    <row r="30" spans="1:28" s="13" customFormat="1" ht="15" customHeight="1" x14ac:dyDescent="0.25">
      <c r="A30" s="78"/>
      <c r="B30" s="79"/>
      <c r="C30" s="80"/>
      <c r="D30" s="80"/>
      <c r="E30" s="80"/>
      <c r="F30" s="80"/>
      <c r="G30" s="80"/>
      <c r="H30" s="10"/>
      <c r="I30" s="10"/>
      <c r="J30" s="10"/>
      <c r="K30" s="10"/>
      <c r="L30" s="10"/>
      <c r="M30" s="10"/>
      <c r="N30" s="80"/>
      <c r="O30" s="80"/>
      <c r="P30" s="80"/>
      <c r="Q30" s="80"/>
      <c r="R30" s="41"/>
      <c r="S30" s="10"/>
      <c r="T30" s="10"/>
      <c r="U30" s="10"/>
      <c r="V30" s="10"/>
      <c r="W30" s="10"/>
      <c r="X30" s="10"/>
      <c r="Y30" s="80"/>
      <c r="Z30" s="10"/>
      <c r="AA30" s="94"/>
      <c r="AB30" s="12"/>
    </row>
    <row r="31" spans="1:28" s="13" customFormat="1" ht="15" customHeight="1" x14ac:dyDescent="0.25">
      <c r="A31" s="78"/>
      <c r="B31" s="79"/>
      <c r="C31" s="80"/>
      <c r="D31" s="80"/>
      <c r="E31" s="80"/>
      <c r="F31" s="80"/>
      <c r="G31" s="80"/>
      <c r="H31" s="10"/>
      <c r="I31" s="10"/>
      <c r="J31" s="10"/>
      <c r="K31" s="10"/>
      <c r="L31" s="10"/>
      <c r="M31" s="10"/>
      <c r="N31" s="80"/>
      <c r="O31" s="80"/>
      <c r="P31" s="80"/>
      <c r="Q31" s="80"/>
      <c r="R31" s="41"/>
      <c r="S31" s="10"/>
      <c r="T31" s="10"/>
      <c r="U31" s="10"/>
      <c r="V31" s="10"/>
      <c r="W31" s="10"/>
      <c r="X31" s="10"/>
      <c r="Y31" s="80"/>
      <c r="Z31" s="10"/>
      <c r="AA31" s="94"/>
      <c r="AB31" s="12"/>
    </row>
    <row r="32" spans="1:28" s="13" customFormat="1" ht="15" customHeight="1" x14ac:dyDescent="0.25">
      <c r="A32" s="78"/>
      <c r="B32" s="79"/>
      <c r="C32" s="80"/>
      <c r="D32" s="80"/>
      <c r="E32" s="80"/>
      <c r="F32" s="80"/>
      <c r="G32" s="80"/>
      <c r="H32" s="10"/>
      <c r="I32" s="10"/>
      <c r="J32" s="10"/>
      <c r="K32" s="10"/>
      <c r="L32" s="10"/>
      <c r="M32" s="10"/>
      <c r="N32" s="80"/>
      <c r="O32" s="80"/>
      <c r="P32" s="80"/>
      <c r="Q32" s="80"/>
      <c r="R32" s="41"/>
      <c r="S32" s="10"/>
      <c r="T32" s="10"/>
      <c r="U32" s="10"/>
      <c r="V32" s="10"/>
      <c r="W32" s="10"/>
      <c r="X32" s="10"/>
      <c r="Y32" s="80"/>
      <c r="Z32" s="10"/>
      <c r="AA32" s="94"/>
      <c r="AB32" s="12"/>
    </row>
    <row r="33" spans="1:28" s="13" customFormat="1" ht="15" customHeight="1" x14ac:dyDescent="0.25">
      <c r="A33" s="78"/>
      <c r="B33" s="79"/>
      <c r="C33" s="80"/>
      <c r="D33" s="80"/>
      <c r="E33" s="80"/>
      <c r="F33" s="80"/>
      <c r="G33" s="80"/>
      <c r="H33" s="10"/>
      <c r="I33" s="10"/>
      <c r="J33" s="10"/>
      <c r="K33" s="10"/>
      <c r="L33" s="10"/>
      <c r="M33" s="10"/>
      <c r="N33" s="80"/>
      <c r="O33" s="80"/>
      <c r="P33" s="80"/>
      <c r="Q33" s="80"/>
      <c r="R33" s="41"/>
      <c r="S33" s="10"/>
      <c r="T33" s="10"/>
      <c r="U33" s="10"/>
      <c r="V33" s="10"/>
      <c r="W33" s="10"/>
      <c r="X33" s="10"/>
      <c r="Y33" s="80"/>
      <c r="Z33" s="10"/>
      <c r="AA33" s="94"/>
      <c r="AB33" s="12"/>
    </row>
    <row r="34" spans="1:28" s="81" customFormat="1" ht="16.5" customHeight="1" x14ac:dyDescent="0.25">
      <c r="A34" s="211" t="s">
        <v>35</v>
      </c>
      <c r="B34" s="211"/>
      <c r="C34" s="211"/>
      <c r="D34" s="211"/>
      <c r="E34" s="211"/>
      <c r="F34" s="212" t="s">
        <v>36</v>
      </c>
      <c r="G34" s="212"/>
      <c r="H34" s="212"/>
      <c r="I34" s="212"/>
      <c r="J34" s="212"/>
      <c r="K34" s="212"/>
      <c r="L34" s="212"/>
      <c r="M34" s="212"/>
      <c r="N34" s="212"/>
      <c r="O34" s="212"/>
      <c r="P34" s="212"/>
      <c r="Q34" s="212"/>
      <c r="R34" s="212"/>
      <c r="S34" s="212"/>
      <c r="T34" s="212" t="s">
        <v>37</v>
      </c>
      <c r="U34" s="212"/>
      <c r="V34" s="212"/>
      <c r="W34" s="212"/>
      <c r="X34" s="212"/>
      <c r="Y34" s="212"/>
      <c r="Z34" s="212"/>
      <c r="AA34" s="212"/>
      <c r="AB34" s="212"/>
    </row>
    <row r="35" spans="1:28" ht="16.5" customHeight="1" x14ac:dyDescent="0.25">
      <c r="A35" s="203"/>
      <c r="B35" s="203"/>
      <c r="C35" s="203"/>
      <c r="D35" s="203"/>
      <c r="E35" s="203"/>
      <c r="F35" s="203"/>
      <c r="G35" s="203"/>
      <c r="H35" s="203"/>
      <c r="I35" s="203"/>
      <c r="J35" s="203"/>
      <c r="K35" s="203"/>
      <c r="L35" s="203"/>
      <c r="M35" s="203"/>
      <c r="N35" s="203"/>
      <c r="O35" s="203"/>
      <c r="P35" s="203"/>
      <c r="Q35" s="203"/>
      <c r="R35" s="203"/>
      <c r="S35" s="203"/>
      <c r="T35" s="203"/>
      <c r="U35" s="203"/>
      <c r="V35" s="203"/>
      <c r="W35" s="203"/>
      <c r="X35" s="203"/>
      <c r="Y35" s="203"/>
      <c r="Z35" s="203"/>
      <c r="AA35" s="203"/>
      <c r="AB35" s="203"/>
    </row>
    <row r="36" spans="1:28" s="83" customFormat="1" ht="16.5" customHeight="1" x14ac:dyDescent="0.25">
      <c r="A36" s="208" t="str">
        <f>IF(UPPER([1]Subject_Info!B7)="","",UPPER([1]Subject_Info!B7))</f>
        <v>JENNIFER L. PIDO</v>
      </c>
      <c r="B36" s="208"/>
      <c r="C36" s="208"/>
      <c r="D36" s="208"/>
      <c r="E36" s="208"/>
      <c r="F36" s="208" t="str">
        <f>IF(UPPER(Subject_Info!B8)="","",UPPER(Subject_Info!B8))</f>
        <v/>
      </c>
      <c r="G36" s="208"/>
      <c r="H36" s="208"/>
      <c r="I36" s="208"/>
      <c r="J36" s="208"/>
      <c r="K36" s="208"/>
      <c r="L36" s="208"/>
      <c r="M36" s="208"/>
      <c r="N36" s="208"/>
      <c r="O36" s="208"/>
      <c r="P36" s="208"/>
      <c r="Q36" s="208"/>
      <c r="R36" s="208"/>
      <c r="S36" s="208"/>
      <c r="T36" s="209" t="str">
        <f>IF(([1]Subject_Info!B9)="","",([1]Subject_Info!B9))</f>
        <v>DR. REYNALDO B. ROJO</v>
      </c>
      <c r="U36" s="209"/>
      <c r="V36" s="209"/>
      <c r="W36" s="209"/>
      <c r="X36" s="209"/>
      <c r="Y36" s="209"/>
      <c r="Z36" s="209"/>
      <c r="AA36" s="209"/>
      <c r="AB36" s="209"/>
    </row>
    <row r="37" spans="1:28" s="84" customFormat="1" ht="16.5" customHeight="1" x14ac:dyDescent="0.25">
      <c r="A37" s="210" t="s">
        <v>38</v>
      </c>
      <c r="B37" s="210"/>
      <c r="C37" s="210"/>
      <c r="D37" s="210"/>
      <c r="E37" s="210"/>
      <c r="F37" s="210" t="s">
        <v>39</v>
      </c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 t="s">
        <v>40</v>
      </c>
      <c r="U37" s="210"/>
      <c r="V37" s="210"/>
      <c r="W37" s="210"/>
      <c r="X37" s="210"/>
      <c r="Y37" s="210"/>
      <c r="Z37" s="210"/>
      <c r="AA37" s="210"/>
      <c r="AB37" s="210"/>
    </row>
  </sheetData>
  <sheetProtection selectLockedCells="1"/>
  <mergeCells count="51">
    <mergeCell ref="A34:E34"/>
    <mergeCell ref="F34:S34"/>
    <mergeCell ref="T34:AB34"/>
    <mergeCell ref="A35:E35"/>
    <mergeCell ref="F35:S35"/>
    <mergeCell ref="T35:AB35"/>
    <mergeCell ref="A36:E36"/>
    <mergeCell ref="F36:S36"/>
    <mergeCell ref="T36:AB36"/>
    <mergeCell ref="A37:E37"/>
    <mergeCell ref="F37:S37"/>
    <mergeCell ref="T37:AB37"/>
    <mergeCell ref="A8:AB8"/>
    <mergeCell ref="A9:A11"/>
    <mergeCell ref="C9:G9"/>
    <mergeCell ref="H9:M9"/>
    <mergeCell ref="N9:R9"/>
    <mergeCell ref="S9:X9"/>
    <mergeCell ref="Y9:Z9"/>
    <mergeCell ref="AA9:AA11"/>
    <mergeCell ref="AB9:AB11"/>
    <mergeCell ref="Y10:Z10"/>
    <mergeCell ref="S10:S11"/>
    <mergeCell ref="T10:T11"/>
    <mergeCell ref="U10:U11"/>
    <mergeCell ref="V10:V11"/>
    <mergeCell ref="W10:W11"/>
    <mergeCell ref="X10:X11"/>
    <mergeCell ref="C6:H6"/>
    <mergeCell ref="I6:L6"/>
    <mergeCell ref="M6:Q6"/>
    <mergeCell ref="R6:W6"/>
    <mergeCell ref="C7:H7"/>
    <mergeCell ref="I7:L7"/>
    <mergeCell ref="M7:Q7"/>
    <mergeCell ref="R7:W7"/>
    <mergeCell ref="M10:M11"/>
    <mergeCell ref="H10:H11"/>
    <mergeCell ref="I10:I11"/>
    <mergeCell ref="J10:J11"/>
    <mergeCell ref="K10:K11"/>
    <mergeCell ref="L10:L11"/>
    <mergeCell ref="A1:AB1"/>
    <mergeCell ref="A2:AB2"/>
    <mergeCell ref="A3:AB3"/>
    <mergeCell ref="A4:AB4"/>
    <mergeCell ref="C5:H5"/>
    <mergeCell ref="I5:L5"/>
    <mergeCell ref="M5:Q5"/>
    <mergeCell ref="R5:S5"/>
    <mergeCell ref="T5:W5"/>
  </mergeCells>
  <conditionalFormatting sqref="A4">
    <cfRule type="cellIs" dxfId="22" priority="37" stopIfTrue="1" operator="lessThan">
      <formula>75</formula>
    </cfRule>
  </conditionalFormatting>
  <conditionalFormatting sqref="A2:A4">
    <cfRule type="cellIs" dxfId="21" priority="36" stopIfTrue="1" operator="greaterThan">
      <formula>0</formula>
    </cfRule>
  </conditionalFormatting>
  <conditionalFormatting sqref="Z12:AA13 X12:X16 M12:M16 M23:M33 X23:X33 Z23:AA33 Z14:Z16 AA14:AA21">
    <cfRule type="cellIs" dxfId="20" priority="35" operator="lessThan">
      <formula>75</formula>
    </cfRule>
  </conditionalFormatting>
  <conditionalFormatting sqref="AB12:AB16 AB23:AB33">
    <cfRule type="cellIs" dxfId="19" priority="31" operator="equal">
      <formula>"Failed"</formula>
    </cfRule>
  </conditionalFormatting>
  <conditionalFormatting sqref="S12:W16 H12:L16 H23:L33 S23:W33">
    <cfRule type="cellIs" dxfId="18" priority="30" operator="lessThan">
      <formula>75</formula>
    </cfRule>
  </conditionalFormatting>
  <conditionalFormatting sqref="Z22:AA22 X17:X22 M17:M22 Z17:Z21">
    <cfRule type="cellIs" dxfId="17" priority="24" operator="lessThan">
      <formula>75</formula>
    </cfRule>
  </conditionalFormatting>
  <conditionalFormatting sqref="AB17:AB22">
    <cfRule type="cellIs" dxfId="16" priority="23" operator="equal">
      <formula>"Failed"</formula>
    </cfRule>
  </conditionalFormatting>
  <conditionalFormatting sqref="S17:W22 H17:L22">
    <cfRule type="cellIs" dxfId="15" priority="22" operator="lessThan">
      <formula>75</formula>
    </cfRule>
  </conditionalFormatting>
  <pageMargins left="0.19685039370078741" right="0.19685039370078741" top="0.39370078740157483" bottom="0.11811023622047245" header="0.31496062992125984" footer="0.31496062992125984"/>
  <pageSetup scale="85" orientation="landscape" horizontalDpi="4294967294" verticalDpi="0" r:id="rId1"/>
  <ignoredErrors>
    <ignoredError sqref="Y11:Z11 Z10 Y10 N16:R16 C16:G16 C5:H7 M6:Q7 Y16:Z16 AA12 C10:G11 N10:R11 Y13:Z13 AA13 C13:G13 N13:R13 Y12:Z12 C12:G12 N12:R12 Y14:Z15 C14:G15 N14:R15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00000"/>
  </sheetPr>
  <dimension ref="A1:AB37"/>
  <sheetViews>
    <sheetView zoomScaleNormal="100" workbookViewId="0">
      <selection activeCell="AD7" sqref="AD7"/>
    </sheetView>
  </sheetViews>
  <sheetFormatPr defaultColWidth="9.140625" defaultRowHeight="16.5" x14ac:dyDescent="0.25"/>
  <cols>
    <col min="1" max="1" width="3.5703125" style="82" customWidth="1"/>
    <col min="2" max="2" width="28" style="9" customWidth="1"/>
    <col min="3" max="3" width="5.140625" style="9" customWidth="1"/>
    <col min="4" max="4" width="4.5703125" style="9" customWidth="1"/>
    <col min="5" max="7" width="5.140625" style="9" customWidth="1"/>
    <col min="8" max="8" width="3.85546875" style="9" customWidth="1"/>
    <col min="9" max="9" width="4" style="9" customWidth="1"/>
    <col min="10" max="10" width="4.28515625" style="9" customWidth="1"/>
    <col min="11" max="11" width="3.85546875" style="9" customWidth="1"/>
    <col min="12" max="12" width="3.7109375" style="9" customWidth="1"/>
    <col min="13" max="13" width="5.28515625" style="9" customWidth="1"/>
    <col min="14" max="16" width="4.7109375" style="9" customWidth="1"/>
    <col min="17" max="18" width="4.140625" style="9" customWidth="1"/>
    <col min="19" max="19" width="4.28515625" style="9" customWidth="1"/>
    <col min="20" max="20" width="4.7109375" style="9" customWidth="1"/>
    <col min="21" max="23" width="4.5703125" style="9" customWidth="1"/>
    <col min="24" max="24" width="4.28515625" style="9" customWidth="1"/>
    <col min="25" max="26" width="5.28515625" style="9" customWidth="1"/>
    <col min="27" max="27" width="7.5703125" style="9" customWidth="1"/>
    <col min="28" max="28" width="8.42578125" style="82" customWidth="1"/>
    <col min="29" max="16384" width="9.140625" style="9"/>
  </cols>
  <sheetData>
    <row r="1" spans="1:28" ht="18.75" x14ac:dyDescent="0.25">
      <c r="A1" s="204" t="s">
        <v>0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  <c r="AA1" s="204"/>
      <c r="AB1" s="204"/>
    </row>
    <row r="2" spans="1:28" x14ac:dyDescent="0.25">
      <c r="A2" s="205" t="s">
        <v>60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</row>
    <row r="3" spans="1:28" ht="18.75" x14ac:dyDescent="0.25">
      <c r="A3" s="206" t="s">
        <v>1</v>
      </c>
      <c r="B3" s="206"/>
      <c r="C3" s="206"/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</row>
    <row r="4" spans="1:28" x14ac:dyDescent="0.25">
      <c r="A4" s="203"/>
      <c r="B4" s="203"/>
      <c r="C4" s="203"/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203"/>
    </row>
    <row r="5" spans="1:28" x14ac:dyDescent="0.25">
      <c r="B5" s="70" t="s">
        <v>2</v>
      </c>
      <c r="C5" s="200" t="str">
        <f>IF(Subject_Info!B1="","",Subject_Info!B1)</f>
        <v/>
      </c>
      <c r="D5" s="200"/>
      <c r="E5" s="200"/>
      <c r="F5" s="200"/>
      <c r="G5" s="200"/>
      <c r="H5" s="200"/>
      <c r="I5" s="201" t="s">
        <v>3</v>
      </c>
      <c r="J5" s="201"/>
      <c r="K5" s="201"/>
      <c r="L5" s="201"/>
      <c r="M5" s="202" t="str">
        <f>IF(UPPER(Subject_Info!B4)="","",UPPER(Subject_Info!B4))</f>
        <v/>
      </c>
      <c r="N5" s="202"/>
      <c r="O5" s="202"/>
      <c r="P5" s="202"/>
      <c r="Q5" s="202"/>
      <c r="R5" s="205" t="s">
        <v>4</v>
      </c>
      <c r="S5" s="205"/>
      <c r="T5" s="218" t="s">
        <v>44</v>
      </c>
      <c r="U5" s="218"/>
      <c r="V5" s="218"/>
      <c r="W5" s="218"/>
      <c r="X5" s="70" t="s">
        <v>6</v>
      </c>
      <c r="AB5" s="82">
        <f>COUNTIF(AB12:AB37,"Passed")</f>
        <v>10</v>
      </c>
    </row>
    <row r="6" spans="1:28" x14ac:dyDescent="0.25">
      <c r="B6" s="70" t="s">
        <v>7</v>
      </c>
      <c r="C6" s="200" t="str">
        <f>IF(Subject_Info!B2="","",Subject_Info!B2)</f>
        <v/>
      </c>
      <c r="D6" s="200"/>
      <c r="E6" s="200"/>
      <c r="F6" s="200"/>
      <c r="G6" s="200"/>
      <c r="H6" s="200"/>
      <c r="I6" s="201" t="s">
        <v>8</v>
      </c>
      <c r="J6" s="201"/>
      <c r="K6" s="201"/>
      <c r="L6" s="201"/>
      <c r="M6" s="202" t="str">
        <f>IF(Subject_Info!B5="","",Subject_Info!B5)</f>
        <v/>
      </c>
      <c r="N6" s="202"/>
      <c r="O6" s="202"/>
      <c r="P6" s="202"/>
      <c r="Q6" s="202"/>
      <c r="R6" s="203"/>
      <c r="S6" s="203"/>
      <c r="T6" s="203"/>
      <c r="U6" s="203"/>
      <c r="V6" s="203"/>
      <c r="W6" s="203"/>
      <c r="X6" s="70" t="s">
        <v>9</v>
      </c>
      <c r="AB6" s="88">
        <f>COUNTIF(AB12:AB37,"Failed")</f>
        <v>0</v>
      </c>
    </row>
    <row r="7" spans="1:28" x14ac:dyDescent="0.25">
      <c r="B7" s="70" t="s">
        <v>10</v>
      </c>
      <c r="C7" s="200" t="str">
        <f>IF(Subject_Info!B3="","",Subject_Info!B3)</f>
        <v/>
      </c>
      <c r="D7" s="200"/>
      <c r="E7" s="200"/>
      <c r="F7" s="200"/>
      <c r="G7" s="200"/>
      <c r="H7" s="200"/>
      <c r="I7" s="201" t="s">
        <v>11</v>
      </c>
      <c r="J7" s="201"/>
      <c r="K7" s="201"/>
      <c r="L7" s="201"/>
      <c r="M7" s="202" t="str">
        <f>IF(Subject_Info!B6="","",Subject_Info!B6)</f>
        <v/>
      </c>
      <c r="N7" s="202"/>
      <c r="O7" s="202"/>
      <c r="P7" s="202"/>
      <c r="Q7" s="202"/>
      <c r="R7" s="203"/>
      <c r="S7" s="203"/>
      <c r="T7" s="203"/>
      <c r="U7" s="203"/>
      <c r="V7" s="203"/>
      <c r="W7" s="203"/>
      <c r="X7" s="70" t="s">
        <v>12</v>
      </c>
      <c r="AB7" s="89">
        <f>COUNTIF(AB12:AB37,"Dropped")</f>
        <v>0</v>
      </c>
    </row>
    <row r="8" spans="1:28" ht="17.25" thickBot="1" x14ac:dyDescent="0.3">
      <c r="A8" s="172" t="s">
        <v>13</v>
      </c>
      <c r="B8" s="172"/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2"/>
      <c r="AB8" s="172"/>
    </row>
    <row r="9" spans="1:28" s="77" customFormat="1" ht="15" x14ac:dyDescent="0.25">
      <c r="A9" s="187" t="s">
        <v>14</v>
      </c>
      <c r="B9" s="76" t="s">
        <v>15</v>
      </c>
      <c r="C9" s="190" t="s">
        <v>16</v>
      </c>
      <c r="D9" s="191"/>
      <c r="E9" s="191"/>
      <c r="F9" s="191"/>
      <c r="G9" s="191"/>
      <c r="H9" s="192" t="s">
        <v>17</v>
      </c>
      <c r="I9" s="193"/>
      <c r="J9" s="193"/>
      <c r="K9" s="193"/>
      <c r="L9" s="193"/>
      <c r="M9" s="194"/>
      <c r="N9" s="195" t="s">
        <v>18</v>
      </c>
      <c r="O9" s="196"/>
      <c r="P9" s="196"/>
      <c r="Q9" s="196"/>
      <c r="R9" s="197"/>
      <c r="S9" s="198" t="s">
        <v>17</v>
      </c>
      <c r="T9" s="198"/>
      <c r="U9" s="198"/>
      <c r="V9" s="198"/>
      <c r="W9" s="198"/>
      <c r="X9" s="199"/>
      <c r="Y9" s="186" t="s">
        <v>19</v>
      </c>
      <c r="Z9" s="186"/>
      <c r="AA9" s="176" t="s">
        <v>58</v>
      </c>
      <c r="AB9" s="179" t="s">
        <v>21</v>
      </c>
    </row>
    <row r="10" spans="1:28" x14ac:dyDescent="0.35">
      <c r="A10" s="188"/>
      <c r="B10" s="56" t="s">
        <v>22</v>
      </c>
      <c r="C10" s="57" t="str">
        <f>IF(Record!AS3="","",Record!AS3)</f>
        <v/>
      </c>
      <c r="D10" s="58" t="str">
        <f>IF(Record!AT3="","",Record!AT3)</f>
        <v/>
      </c>
      <c r="E10" s="59" t="str">
        <f>IF(Record!AU3="","",Record!AU3)</f>
        <v/>
      </c>
      <c r="F10" s="58" t="str">
        <f>IF(Record!AV3="","",Record!AV3)</f>
        <v/>
      </c>
      <c r="G10" s="60" t="str">
        <f>IF(Record!AW3="","",Record!AW3)</f>
        <v/>
      </c>
      <c r="H10" s="182" t="s">
        <v>23</v>
      </c>
      <c r="I10" s="182" t="s">
        <v>24</v>
      </c>
      <c r="J10" s="182" t="s">
        <v>25</v>
      </c>
      <c r="K10" s="182" t="s">
        <v>26</v>
      </c>
      <c r="L10" s="182" t="s">
        <v>27</v>
      </c>
      <c r="M10" s="173" t="s">
        <v>28</v>
      </c>
      <c r="N10" s="60" t="str">
        <f>IF(Record!AX3="","",Record!AX3)</f>
        <v/>
      </c>
      <c r="O10" s="61" t="str">
        <f>IF(Record!AY3="","",Record!AY3)</f>
        <v/>
      </c>
      <c r="P10" s="61" t="str">
        <f>IF(Record!AZ3="","",Record!AZ3)</f>
        <v/>
      </c>
      <c r="Q10" s="61" t="str">
        <f>IF(Record!BA3="","",Record!BA3)</f>
        <v/>
      </c>
      <c r="R10" s="62" t="str">
        <f>IF(Record!BB3="","",Record!BB3)</f>
        <v/>
      </c>
      <c r="S10" s="184" t="s">
        <v>29</v>
      </c>
      <c r="T10" s="184" t="s">
        <v>30</v>
      </c>
      <c r="U10" s="184" t="s">
        <v>31</v>
      </c>
      <c r="V10" s="184" t="s">
        <v>32</v>
      </c>
      <c r="W10" s="184" t="s">
        <v>33</v>
      </c>
      <c r="X10" s="173" t="s">
        <v>28</v>
      </c>
      <c r="Y10" s="175" t="str">
        <f>IF(Record!BC3="","",Record!BC3)</f>
        <v/>
      </c>
      <c r="Z10" s="175" t="str">
        <f>IF(Record!Z3="","",Record!Z3)</f>
        <v/>
      </c>
      <c r="AA10" s="177"/>
      <c r="AB10" s="180"/>
    </row>
    <row r="11" spans="1:28" s="81" customFormat="1" ht="15.75" thickBot="1" x14ac:dyDescent="0.4">
      <c r="A11" s="189"/>
      <c r="B11" s="111" t="s">
        <v>59</v>
      </c>
      <c r="C11" s="112">
        <f>IF(Record!AS4="","",Record!AS4)</f>
        <v>15</v>
      </c>
      <c r="D11" s="63">
        <f>IF(Record!AT4="","",Record!AT4)</f>
        <v>10</v>
      </c>
      <c r="E11" s="113">
        <f>IF(Record!AU4="","",Record!AU4)</f>
        <v>15</v>
      </c>
      <c r="F11" s="63" t="str">
        <f>IF(Record!AV4="","",Record!AV4)</f>
        <v/>
      </c>
      <c r="G11" s="114" t="str">
        <f>IF(Record!AW4="","",Record!AW4)</f>
        <v/>
      </c>
      <c r="H11" s="183"/>
      <c r="I11" s="183"/>
      <c r="J11" s="183"/>
      <c r="K11" s="183"/>
      <c r="L11" s="183"/>
      <c r="M11" s="174"/>
      <c r="N11" s="114">
        <f>IF(Record!AX4="","",Record!AX4)</f>
        <v>10</v>
      </c>
      <c r="O11" s="63">
        <f>IF(Record!AY4="","",Record!AY4)</f>
        <v>10</v>
      </c>
      <c r="P11" s="63">
        <f>IF(Record!AZ4="","",Record!AZ4)</f>
        <v>10</v>
      </c>
      <c r="Q11" s="63">
        <f>IF(Record!BA4="","",Record!BA4)</f>
        <v>10</v>
      </c>
      <c r="R11" s="115" t="str">
        <f>IF(Record!BB4="","",Record!BB4)</f>
        <v/>
      </c>
      <c r="S11" s="185"/>
      <c r="T11" s="185"/>
      <c r="U11" s="185"/>
      <c r="V11" s="185"/>
      <c r="W11" s="185"/>
      <c r="X11" s="174"/>
      <c r="Y11" s="114">
        <f>IF(Record!BC4="","",Record!BC4)</f>
        <v>40</v>
      </c>
      <c r="Z11" s="115" t="s">
        <v>34</v>
      </c>
      <c r="AA11" s="178"/>
      <c r="AB11" s="181"/>
    </row>
    <row r="12" spans="1:28" ht="16.5" customHeight="1" x14ac:dyDescent="0.25">
      <c r="A12" s="102" t="str">
        <f>IF(Record!A5="","",Record!A5)</f>
        <v/>
      </c>
      <c r="B12" s="118" t="str">
        <f>IF(UPPER(Record!B5)="","",UPPER(Record!B5))</f>
        <v/>
      </c>
      <c r="C12" s="109" t="str">
        <f>IF(Record!AS5="","",Record!AS5)</f>
        <v/>
      </c>
      <c r="D12" s="104" t="str">
        <f>IF(Record!AT5="","",Record!AT5)</f>
        <v/>
      </c>
      <c r="E12" s="104" t="str">
        <f>IF(Record!AU5="","",Record!AU5)</f>
        <v/>
      </c>
      <c r="F12" s="104" t="str">
        <f>IF(Record!AV5="","",Record!AV5)</f>
        <v/>
      </c>
      <c r="G12" s="105" t="str">
        <f>IF(Record!AW5="","",Record!AW5)</f>
        <v/>
      </c>
      <c r="H12" s="106" t="str">
        <f t="shared" ref="H12:H15" si="0">IF(C12="","",(C12/$C$11)*50+50)</f>
        <v/>
      </c>
      <c r="I12" s="106" t="str">
        <f t="shared" ref="I12:I15" si="1">IF(D12="","",(D12/$D$11)*50+50)</f>
        <v/>
      </c>
      <c r="J12" s="106" t="str">
        <f t="shared" ref="J12:J15" si="2">IF(E12="","",(E12/$E$11)*50+50)</f>
        <v/>
      </c>
      <c r="K12" s="106" t="str">
        <f t="shared" ref="K12:K15" si="3">IF(F12="","",(F12/$F$11)*50+50)</f>
        <v/>
      </c>
      <c r="L12" s="106" t="str">
        <f t="shared" ref="L12:L15" si="4">IF(G12="","",(G12/$G$11)*50+50)</f>
        <v/>
      </c>
      <c r="M12" s="107" t="str">
        <f t="shared" ref="M12:M15" si="5">IFERROR(AVERAGE(H12:L12),"")</f>
        <v/>
      </c>
      <c r="N12" s="103" t="str">
        <f>IF(Record!AX5="","",Record!AX5)</f>
        <v/>
      </c>
      <c r="O12" s="104" t="str">
        <f>IF(Record!AY5="","",Record!AY5)</f>
        <v/>
      </c>
      <c r="P12" s="104" t="str">
        <f>IF(Record!AZ5="","",Record!AZ5)</f>
        <v/>
      </c>
      <c r="Q12" s="104" t="str">
        <f>IF(Record!BA5="","",Record!BA5)</f>
        <v/>
      </c>
      <c r="R12" s="110" t="str">
        <f>IF(Record!BB5="","",Record!BB5)</f>
        <v/>
      </c>
      <c r="S12" s="106" t="str">
        <f t="shared" ref="S12:S15" si="6">IF(N12="","",(N12/$N$11)*50+50)</f>
        <v/>
      </c>
      <c r="T12" s="106" t="str">
        <f t="shared" ref="T12:T15" si="7">IF(O12="","",(O12/$O$11)*50+50)</f>
        <v/>
      </c>
      <c r="U12" s="106" t="str">
        <f t="shared" ref="U12:U15" si="8">IF(P12="","",(P12/$P$11)*50+50)</f>
        <v/>
      </c>
      <c r="V12" s="106" t="str">
        <f t="shared" ref="V12:V15" si="9">IF(Q12="","",(Q12/$Q$11)*50+50)</f>
        <v/>
      </c>
      <c r="W12" s="106" t="str">
        <f t="shared" ref="W12:W15" si="10">IF(R12="","",(R12/$R$11)*50+50)</f>
        <v/>
      </c>
      <c r="X12" s="107" t="str">
        <f t="shared" ref="X12:X15" si="11">IFERROR(AVERAGE(S12:W12),"")</f>
        <v/>
      </c>
      <c r="Y12" s="103" t="str">
        <f>IF(Record!BC5="","",Record!BC5)</f>
        <v/>
      </c>
      <c r="Z12" s="107" t="str">
        <f t="shared" ref="Z12:Z15" si="12">IF(Y12="","",(Y12/$Y$11)*50+50)</f>
        <v/>
      </c>
      <c r="AA12" s="101" t="str">
        <f t="shared" ref="AA12:AA15" si="13">IFERROR((M12*0.4+X12*0.2+Z12*0.4),"")</f>
        <v/>
      </c>
      <c r="AB12" s="108" t="str">
        <f t="shared" ref="AB12:AB15" si="14">IF(AA12="","", IF(AA12="-","Dropped",IF(AA12&gt;=74.5,"Passed","Failed")))</f>
        <v/>
      </c>
    </row>
    <row r="13" spans="1:28" ht="16.5" customHeight="1" x14ac:dyDescent="0.25">
      <c r="A13" s="64">
        <f>IF(Record!A6="","",Record!A6)</f>
        <v>1</v>
      </c>
      <c r="B13" s="65" t="str">
        <f>IF(UPPER(Record!B6)="","",UPPER(Record!B6))</f>
        <v>STUDENT_1</v>
      </c>
      <c r="C13" s="66">
        <f>IF(Record!AS6="","",Record!AS6)</f>
        <v>14</v>
      </c>
      <c r="D13" s="67">
        <f>IF(Record!AT6="","",Record!AT6)</f>
        <v>10</v>
      </c>
      <c r="E13" s="67">
        <f>IF(Record!AU6="","",Record!AU6)</f>
        <v>15</v>
      </c>
      <c r="F13" s="67" t="str">
        <f>IF(Record!AV6="","",Record!AV6)</f>
        <v/>
      </c>
      <c r="G13" s="68" t="str">
        <f>IF(Record!AW6="","",Record!AW6)</f>
        <v/>
      </c>
      <c r="H13" s="6">
        <f t="shared" si="0"/>
        <v>96.666666666666657</v>
      </c>
      <c r="I13" s="6">
        <f t="shared" si="1"/>
        <v>100</v>
      </c>
      <c r="J13" s="6">
        <f t="shared" si="2"/>
        <v>100</v>
      </c>
      <c r="K13" s="6" t="str">
        <f t="shared" si="3"/>
        <v/>
      </c>
      <c r="L13" s="6" t="str">
        <f t="shared" si="4"/>
        <v/>
      </c>
      <c r="M13" s="7">
        <f t="shared" si="5"/>
        <v>98.888888888888872</v>
      </c>
      <c r="N13" s="66">
        <f>IF(Record!AX6="","",Record!AX6)</f>
        <v>10</v>
      </c>
      <c r="O13" s="67">
        <f>IF(Record!AY6="","",Record!AY6)</f>
        <v>10</v>
      </c>
      <c r="P13" s="67">
        <f>IF(Record!AZ6="","",Record!AZ6)</f>
        <v>9</v>
      </c>
      <c r="Q13" s="67">
        <f>IF(Record!BA6="","",Record!BA6)</f>
        <v>10</v>
      </c>
      <c r="R13" s="69" t="str">
        <f>IF(Record!BB6="","",Record!BB6)</f>
        <v/>
      </c>
      <c r="S13" s="6">
        <f t="shared" si="6"/>
        <v>100</v>
      </c>
      <c r="T13" s="6">
        <f>IF(O13="","",(O13/$O$11)*50+50)</f>
        <v>100</v>
      </c>
      <c r="U13" s="6">
        <f t="shared" si="8"/>
        <v>95</v>
      </c>
      <c r="V13" s="6">
        <f t="shared" si="9"/>
        <v>100</v>
      </c>
      <c r="W13" s="6" t="str">
        <f t="shared" si="10"/>
        <v/>
      </c>
      <c r="X13" s="7">
        <f t="shared" si="11"/>
        <v>98.75</v>
      </c>
      <c r="Y13" s="66">
        <f>IF(Record!BC6="","",Record!BC6)</f>
        <v>40</v>
      </c>
      <c r="Z13" s="7">
        <f t="shared" si="12"/>
        <v>100</v>
      </c>
      <c r="AA13" s="55">
        <f t="shared" si="13"/>
        <v>99.305555555555543</v>
      </c>
      <c r="AB13" s="8" t="str">
        <f t="shared" si="14"/>
        <v>Passed</v>
      </c>
    </row>
    <row r="14" spans="1:28" ht="16.5" customHeight="1" x14ac:dyDescent="0.25">
      <c r="A14" s="64">
        <f>IF(Record!A7="","",Record!A7)</f>
        <v>2</v>
      </c>
      <c r="B14" s="65" t="str">
        <f>IF(UPPER(Record!B7)="","",UPPER(Record!B7))</f>
        <v>STUDENT_2</v>
      </c>
      <c r="C14" s="66">
        <f>IF(Record!AS7="","",Record!AS7)</f>
        <v>13</v>
      </c>
      <c r="D14" s="67">
        <f>IF(Record!AT7="","",Record!AT7)</f>
        <v>7</v>
      </c>
      <c r="E14" s="67">
        <f>IF(Record!AU7="","",Record!AU7)</f>
        <v>13</v>
      </c>
      <c r="F14" s="67" t="str">
        <f>IF(Record!AV7="","",Record!AV7)</f>
        <v/>
      </c>
      <c r="G14" s="68" t="str">
        <f>IF(Record!AW7="","",Record!AW7)</f>
        <v/>
      </c>
      <c r="H14" s="6">
        <f t="shared" si="0"/>
        <v>93.333333333333343</v>
      </c>
      <c r="I14" s="6">
        <f t="shared" si="1"/>
        <v>85</v>
      </c>
      <c r="J14" s="6">
        <f t="shared" si="2"/>
        <v>93.333333333333343</v>
      </c>
      <c r="K14" s="6" t="str">
        <f t="shared" si="3"/>
        <v/>
      </c>
      <c r="L14" s="6" t="str">
        <f t="shared" si="4"/>
        <v/>
      </c>
      <c r="M14" s="7">
        <f t="shared" si="5"/>
        <v>90.555555555555557</v>
      </c>
      <c r="N14" s="66">
        <f>IF(Record!AX7="","",Record!AX7)</f>
        <v>10</v>
      </c>
      <c r="O14" s="67">
        <f>IF(Record!AY7="","",Record!AY7)</f>
        <v>7</v>
      </c>
      <c r="P14" s="67">
        <f>IF(Record!AZ7="","",Record!AZ7)</f>
        <v>8</v>
      </c>
      <c r="Q14" s="67">
        <f>IF(Record!BA7="","",Record!BA7)</f>
        <v>10</v>
      </c>
      <c r="R14" s="69" t="str">
        <f>IF(Record!BB7="","",Record!BB7)</f>
        <v/>
      </c>
      <c r="S14" s="6">
        <f t="shared" si="6"/>
        <v>100</v>
      </c>
      <c r="T14" s="6">
        <f t="shared" si="7"/>
        <v>85</v>
      </c>
      <c r="U14" s="6">
        <f t="shared" si="8"/>
        <v>90</v>
      </c>
      <c r="V14" s="6">
        <f t="shared" si="9"/>
        <v>100</v>
      </c>
      <c r="W14" s="6" t="str">
        <f t="shared" si="10"/>
        <v/>
      </c>
      <c r="X14" s="7">
        <f t="shared" si="11"/>
        <v>93.75</v>
      </c>
      <c r="Y14" s="66">
        <f>IF(Record!BC7="","",Record!BC7)</f>
        <v>35</v>
      </c>
      <c r="Z14" s="7">
        <f t="shared" si="12"/>
        <v>93.75</v>
      </c>
      <c r="AA14" s="55">
        <f t="shared" si="13"/>
        <v>92.472222222222229</v>
      </c>
      <c r="AB14" s="8" t="str">
        <f t="shared" si="14"/>
        <v>Passed</v>
      </c>
    </row>
    <row r="15" spans="1:28" ht="16.5" customHeight="1" x14ac:dyDescent="0.25">
      <c r="A15" s="64">
        <f>IF(Record!A8="","",Record!A8)</f>
        <v>3</v>
      </c>
      <c r="B15" s="65" t="str">
        <f>IF(UPPER(Record!B8)="","",UPPER(Record!B8))</f>
        <v>STUDENT_3</v>
      </c>
      <c r="C15" s="66">
        <f>IF(Record!AS8="","",Record!AS8)</f>
        <v>10</v>
      </c>
      <c r="D15" s="67">
        <f>IF(Record!AT8="","",Record!AT8)</f>
        <v>9</v>
      </c>
      <c r="E15" s="67">
        <f>IF(Record!AU8="","",Record!AU8)</f>
        <v>9</v>
      </c>
      <c r="F15" s="67" t="str">
        <f>IF(Record!AV8="","",Record!AV8)</f>
        <v/>
      </c>
      <c r="G15" s="68" t="str">
        <f>IF(Record!AW8="","",Record!AW8)</f>
        <v/>
      </c>
      <c r="H15" s="6">
        <f t="shared" si="0"/>
        <v>83.333333333333329</v>
      </c>
      <c r="I15" s="6">
        <f t="shared" si="1"/>
        <v>95</v>
      </c>
      <c r="J15" s="6">
        <f t="shared" si="2"/>
        <v>80</v>
      </c>
      <c r="K15" s="6" t="str">
        <f t="shared" si="3"/>
        <v/>
      </c>
      <c r="L15" s="6" t="str">
        <f t="shared" si="4"/>
        <v/>
      </c>
      <c r="M15" s="7">
        <f t="shared" si="5"/>
        <v>86.1111111111111</v>
      </c>
      <c r="N15" s="66">
        <f>IF(Record!AX8="","",Record!AX8)</f>
        <v>10</v>
      </c>
      <c r="O15" s="67">
        <f>IF(Record!AY8="","",Record!AY8)</f>
        <v>9</v>
      </c>
      <c r="P15" s="67">
        <f>IF(Record!AZ8="","",Record!AZ8)</f>
        <v>6</v>
      </c>
      <c r="Q15" s="67">
        <f>IF(Record!BA8="","",Record!BA8)</f>
        <v>10</v>
      </c>
      <c r="R15" s="69" t="str">
        <f>IF(Record!BB8="","",Record!BB8)</f>
        <v/>
      </c>
      <c r="S15" s="6">
        <f t="shared" si="6"/>
        <v>100</v>
      </c>
      <c r="T15" s="6">
        <f t="shared" si="7"/>
        <v>95</v>
      </c>
      <c r="U15" s="6">
        <f t="shared" si="8"/>
        <v>80</v>
      </c>
      <c r="V15" s="6">
        <f t="shared" si="9"/>
        <v>100</v>
      </c>
      <c r="W15" s="6" t="str">
        <f t="shared" si="10"/>
        <v/>
      </c>
      <c r="X15" s="7">
        <f t="shared" si="11"/>
        <v>93.75</v>
      </c>
      <c r="Y15" s="66">
        <f>IF(Record!BC8="","",Record!BC8)</f>
        <v>29</v>
      </c>
      <c r="Z15" s="7">
        <f t="shared" si="12"/>
        <v>86.25</v>
      </c>
      <c r="AA15" s="55">
        <f t="shared" si="13"/>
        <v>87.694444444444443</v>
      </c>
      <c r="AB15" s="8" t="str">
        <f t="shared" si="14"/>
        <v>Passed</v>
      </c>
    </row>
    <row r="16" spans="1:28" ht="16.5" customHeight="1" x14ac:dyDescent="0.25">
      <c r="A16" s="64">
        <f>IF(Record!A9="","",Record!A9)</f>
        <v>4</v>
      </c>
      <c r="B16" s="65" t="str">
        <f>IF(UPPER(Record!B9)="","",UPPER(Record!B9))</f>
        <v>STUDENT_4</v>
      </c>
      <c r="C16" s="66">
        <f>IF(Record!AS9="","",Record!AS9)</f>
        <v>13</v>
      </c>
      <c r="D16" s="67">
        <f>IF(Record!AT9="","",Record!AT9)</f>
        <v>9</v>
      </c>
      <c r="E16" s="67">
        <f>IF(Record!AU9="","",Record!AU9)</f>
        <v>13</v>
      </c>
      <c r="F16" s="67" t="str">
        <f>IF(Record!AV9="","",Record!AV9)</f>
        <v/>
      </c>
      <c r="G16" s="68" t="str">
        <f>IF(Record!AW9="","",Record!AW9)</f>
        <v/>
      </c>
      <c r="H16" s="6">
        <f t="shared" ref="H16:H22" si="15">IF(C16="","",(C16/$C$11)*50+50)</f>
        <v>93.333333333333343</v>
      </c>
      <c r="I16" s="6">
        <f t="shared" ref="I16:I22" si="16">IF(D16="","",(D16/$D$11)*50+50)</f>
        <v>95</v>
      </c>
      <c r="J16" s="6">
        <f t="shared" ref="J16:J22" si="17">IF(E16="","",(E16/$E$11)*50+50)</f>
        <v>93.333333333333343</v>
      </c>
      <c r="K16" s="6" t="str">
        <f t="shared" ref="K16:K22" si="18">IF(F16="","",(F16/$F$11)*50+50)</f>
        <v/>
      </c>
      <c r="L16" s="6" t="str">
        <f t="shared" ref="L16:L22" si="19">IF(G16="","",(G16/$G$11)*50+50)</f>
        <v/>
      </c>
      <c r="M16" s="7">
        <f t="shared" ref="M16:M22" si="20">IFERROR(AVERAGE(H16:L16),"")</f>
        <v>93.8888888888889</v>
      </c>
      <c r="N16" s="66">
        <f>IF(Record!AX9="","",Record!AX9)</f>
        <v>10</v>
      </c>
      <c r="O16" s="67">
        <f>IF(Record!AY9="","",Record!AY9)</f>
        <v>9</v>
      </c>
      <c r="P16" s="67">
        <f>IF(Record!AZ9="","",Record!AZ9)</f>
        <v>8</v>
      </c>
      <c r="Q16" s="67">
        <f>IF(Record!BA9="","",Record!BA9)</f>
        <v>10</v>
      </c>
      <c r="R16" s="69" t="str">
        <f>IF(Record!BB9="","",Record!BB9)</f>
        <v/>
      </c>
      <c r="S16" s="6">
        <f t="shared" ref="S16:S22" si="21">IF(N16="","",(N16/$N$11)*50+50)</f>
        <v>100</v>
      </c>
      <c r="T16" s="6">
        <f t="shared" ref="T16:T22" si="22">IF(O16="","",(O16/$O$11)*50+50)</f>
        <v>95</v>
      </c>
      <c r="U16" s="6">
        <f t="shared" ref="U16:U22" si="23">IF(P16="","",(P16/$P$11)*50+50)</f>
        <v>90</v>
      </c>
      <c r="V16" s="6">
        <f t="shared" ref="V16:V22" si="24">IF(Q16="","",(Q16/$Q$11)*50+50)</f>
        <v>100</v>
      </c>
      <c r="W16" s="6" t="str">
        <f t="shared" ref="W16:W22" si="25">IF(R16="","",(R16/$R$11)*50+50)</f>
        <v/>
      </c>
      <c r="X16" s="7">
        <f t="shared" ref="X16:X22" si="26">IFERROR(AVERAGE(S16:W16),"")</f>
        <v>96.25</v>
      </c>
      <c r="Y16" s="66">
        <f>IF(Record!BC9="","",Record!BC9)</f>
        <v>35</v>
      </c>
      <c r="Z16" s="7">
        <f t="shared" ref="Z16:Z22" si="27">IF(Y16="","",(Y16/$Y$11)*50+50)</f>
        <v>93.75</v>
      </c>
      <c r="AA16" s="55">
        <f t="shared" ref="AA16:AA22" si="28">IFERROR((M16*0.4+X16*0.2+Z16*0.4),"")</f>
        <v>94.305555555555571</v>
      </c>
      <c r="AB16" s="8" t="str">
        <f t="shared" ref="AB16:AB22" si="29">IF(AA16="","", IF(AA16="-","Dropped",IF(AA16&gt;=74.5,"Passed","Failed")))</f>
        <v>Passed</v>
      </c>
    </row>
    <row r="17" spans="1:28" ht="16.5" customHeight="1" x14ac:dyDescent="0.25">
      <c r="A17" s="64">
        <f>IF(Record!A10="","",Record!A10)</f>
        <v>5</v>
      </c>
      <c r="B17" s="65" t="str">
        <f>IF(UPPER(Record!B10)="","",UPPER(Record!B10))</f>
        <v>STUDENT_5</v>
      </c>
      <c r="C17" s="66">
        <f>IF(Record!AS10="","",Record!AS10)</f>
        <v>12</v>
      </c>
      <c r="D17" s="67">
        <f>IF(Record!AT10="","",Record!AT10)</f>
        <v>8</v>
      </c>
      <c r="E17" s="67">
        <f>IF(Record!AU10="","",Record!AU10)</f>
        <v>11</v>
      </c>
      <c r="F17" s="67" t="str">
        <f>IF(Record!AV10="","",Record!AV10)</f>
        <v/>
      </c>
      <c r="G17" s="68" t="str">
        <f>IF(Record!AW10="","",Record!AW10)</f>
        <v/>
      </c>
      <c r="H17" s="6">
        <f t="shared" si="15"/>
        <v>90</v>
      </c>
      <c r="I17" s="6">
        <f t="shared" si="16"/>
        <v>90</v>
      </c>
      <c r="J17" s="6">
        <f t="shared" si="17"/>
        <v>86.666666666666657</v>
      </c>
      <c r="K17" s="6" t="str">
        <f t="shared" si="18"/>
        <v/>
      </c>
      <c r="L17" s="6" t="str">
        <f t="shared" si="19"/>
        <v/>
      </c>
      <c r="M17" s="7">
        <f t="shared" si="20"/>
        <v>88.888888888888872</v>
      </c>
      <c r="N17" s="66">
        <f>IF(Record!AX10="","",Record!AX10)</f>
        <v>10</v>
      </c>
      <c r="O17" s="67">
        <f>IF(Record!AY10="","",Record!AY10)</f>
        <v>10</v>
      </c>
      <c r="P17" s="67">
        <f>IF(Record!AZ10="","",Record!AZ10)</f>
        <v>10</v>
      </c>
      <c r="Q17" s="67">
        <f>IF(Record!BA10="","",Record!BA10)</f>
        <v>10</v>
      </c>
      <c r="R17" s="69" t="str">
        <f>IF(Record!BB10="","",Record!BB10)</f>
        <v/>
      </c>
      <c r="S17" s="6">
        <f t="shared" si="21"/>
        <v>100</v>
      </c>
      <c r="T17" s="6">
        <f t="shared" si="22"/>
        <v>100</v>
      </c>
      <c r="U17" s="6">
        <f t="shared" si="23"/>
        <v>100</v>
      </c>
      <c r="V17" s="6">
        <f t="shared" si="24"/>
        <v>100</v>
      </c>
      <c r="W17" s="6" t="str">
        <f t="shared" si="25"/>
        <v/>
      </c>
      <c r="X17" s="7">
        <f t="shared" si="26"/>
        <v>100</v>
      </c>
      <c r="Y17" s="66">
        <f>IF(Record!BC10="","",Record!BC10)</f>
        <v>25</v>
      </c>
      <c r="Z17" s="7">
        <f t="shared" si="27"/>
        <v>81.25</v>
      </c>
      <c r="AA17" s="55">
        <f t="shared" si="28"/>
        <v>88.055555555555543</v>
      </c>
      <c r="AB17" s="8" t="str">
        <f t="shared" si="29"/>
        <v>Passed</v>
      </c>
    </row>
    <row r="18" spans="1:28" ht="16.5" customHeight="1" x14ac:dyDescent="0.25">
      <c r="A18" s="64">
        <f>IF(Record!A11="","",Record!A11)</f>
        <v>6</v>
      </c>
      <c r="B18" s="65" t="str">
        <f>IF(UPPER(Record!B11)="","",UPPER(Record!B11))</f>
        <v>STUDENT_6</v>
      </c>
      <c r="C18" s="66">
        <f>IF(Record!AS11="","",Record!AS11)</f>
        <v>7</v>
      </c>
      <c r="D18" s="67">
        <f>IF(Record!AT11="","",Record!AT11)</f>
        <v>8</v>
      </c>
      <c r="E18" s="67">
        <f>IF(Record!AU11="","",Record!AU11)</f>
        <v>9</v>
      </c>
      <c r="F18" s="67" t="str">
        <f>IF(Record!AV11="","",Record!AV11)</f>
        <v/>
      </c>
      <c r="G18" s="68" t="str">
        <f>IF(Record!AW11="","",Record!AW11)</f>
        <v/>
      </c>
      <c r="H18" s="6">
        <f t="shared" si="15"/>
        <v>73.333333333333329</v>
      </c>
      <c r="I18" s="6">
        <f t="shared" si="16"/>
        <v>90</v>
      </c>
      <c r="J18" s="6">
        <f t="shared" si="17"/>
        <v>80</v>
      </c>
      <c r="K18" s="6" t="str">
        <f t="shared" si="18"/>
        <v/>
      </c>
      <c r="L18" s="6" t="str">
        <f t="shared" si="19"/>
        <v/>
      </c>
      <c r="M18" s="7">
        <f t="shared" si="20"/>
        <v>81.1111111111111</v>
      </c>
      <c r="N18" s="66">
        <f>IF(Record!AX11="","",Record!AX11)</f>
        <v>8</v>
      </c>
      <c r="O18" s="67">
        <f>IF(Record!AY11="","",Record!AY11)</f>
        <v>5</v>
      </c>
      <c r="P18" s="67">
        <f>IF(Record!AZ11="","",Record!AZ11)</f>
        <v>7</v>
      </c>
      <c r="Q18" s="67">
        <f>IF(Record!BA11="","",Record!BA11)</f>
        <v>10</v>
      </c>
      <c r="R18" s="69" t="str">
        <f>IF(Record!BB11="","",Record!BB11)</f>
        <v/>
      </c>
      <c r="S18" s="6">
        <f t="shared" si="21"/>
        <v>90</v>
      </c>
      <c r="T18" s="6">
        <f t="shared" si="22"/>
        <v>75</v>
      </c>
      <c r="U18" s="6">
        <f t="shared" si="23"/>
        <v>85</v>
      </c>
      <c r="V18" s="6">
        <f t="shared" si="24"/>
        <v>100</v>
      </c>
      <c r="W18" s="6" t="str">
        <f t="shared" si="25"/>
        <v/>
      </c>
      <c r="X18" s="7">
        <f t="shared" si="26"/>
        <v>87.5</v>
      </c>
      <c r="Y18" s="66">
        <f>IF(Record!BC11="","",Record!BC11)</f>
        <v>22</v>
      </c>
      <c r="Z18" s="7">
        <f t="shared" si="27"/>
        <v>77.5</v>
      </c>
      <c r="AA18" s="55">
        <f t="shared" si="28"/>
        <v>80.944444444444443</v>
      </c>
      <c r="AB18" s="8" t="str">
        <f t="shared" si="29"/>
        <v>Passed</v>
      </c>
    </row>
    <row r="19" spans="1:28" ht="16.5" customHeight="1" x14ac:dyDescent="0.25">
      <c r="A19" s="64">
        <f>IF(Record!A12="","",Record!A12)</f>
        <v>7</v>
      </c>
      <c r="B19" s="65" t="str">
        <f>IF(UPPER(Record!B12)="","",UPPER(Record!B12))</f>
        <v>STUDENT_7</v>
      </c>
      <c r="C19" s="66">
        <f>IF(Record!AS12="","",Record!AS12)</f>
        <v>10</v>
      </c>
      <c r="D19" s="67">
        <f>IF(Record!AT12="","",Record!AT12)</f>
        <v>7</v>
      </c>
      <c r="E19" s="67">
        <f>IF(Record!AU12="","",Record!AU12)</f>
        <v>10</v>
      </c>
      <c r="F19" s="67" t="str">
        <f>IF(Record!AV12="","",Record!AV12)</f>
        <v/>
      </c>
      <c r="G19" s="68" t="str">
        <f>IF(Record!AW12="","",Record!AW12)</f>
        <v/>
      </c>
      <c r="H19" s="6">
        <f t="shared" si="15"/>
        <v>83.333333333333329</v>
      </c>
      <c r="I19" s="6">
        <f t="shared" si="16"/>
        <v>85</v>
      </c>
      <c r="J19" s="6">
        <f t="shared" si="17"/>
        <v>83.333333333333329</v>
      </c>
      <c r="K19" s="6" t="str">
        <f t="shared" si="18"/>
        <v/>
      </c>
      <c r="L19" s="6" t="str">
        <f t="shared" si="19"/>
        <v/>
      </c>
      <c r="M19" s="7">
        <f t="shared" si="20"/>
        <v>83.888888888888872</v>
      </c>
      <c r="N19" s="66">
        <f>IF(Record!AX12="","",Record!AX12)</f>
        <v>0</v>
      </c>
      <c r="O19" s="67">
        <f>IF(Record!AY12="","",Record!AY12)</f>
        <v>8</v>
      </c>
      <c r="P19" s="67">
        <f>IF(Record!AZ12="","",Record!AZ12)</f>
        <v>8</v>
      </c>
      <c r="Q19" s="67">
        <f>IF(Record!BA12="","",Record!BA12)</f>
        <v>10</v>
      </c>
      <c r="R19" s="69" t="str">
        <f>IF(Record!BB12="","",Record!BB12)</f>
        <v/>
      </c>
      <c r="S19" s="6">
        <f t="shared" si="21"/>
        <v>50</v>
      </c>
      <c r="T19" s="6">
        <f t="shared" si="22"/>
        <v>90</v>
      </c>
      <c r="U19" s="6">
        <f t="shared" si="23"/>
        <v>90</v>
      </c>
      <c r="V19" s="6">
        <f t="shared" si="24"/>
        <v>100</v>
      </c>
      <c r="W19" s="6" t="str">
        <f t="shared" si="25"/>
        <v/>
      </c>
      <c r="X19" s="7">
        <f t="shared" si="26"/>
        <v>82.5</v>
      </c>
      <c r="Y19" s="66">
        <f>IF(Record!BC12="","",Record!BC12)</f>
        <v>30</v>
      </c>
      <c r="Z19" s="7">
        <f t="shared" si="27"/>
        <v>87.5</v>
      </c>
      <c r="AA19" s="55">
        <f t="shared" si="28"/>
        <v>85.055555555555543</v>
      </c>
      <c r="AB19" s="8" t="str">
        <f t="shared" si="29"/>
        <v>Passed</v>
      </c>
    </row>
    <row r="20" spans="1:28" ht="16.5" customHeight="1" x14ac:dyDescent="0.25">
      <c r="A20" s="64">
        <f>IF(Record!A13="","",Record!A13)</f>
        <v>8</v>
      </c>
      <c r="B20" s="65" t="str">
        <f>IF(UPPER(Record!B13)="","",UPPER(Record!B13))</f>
        <v>STUDENT_8</v>
      </c>
      <c r="C20" s="66">
        <f>IF(Record!AS13="","",Record!AS13)</f>
        <v>14</v>
      </c>
      <c r="D20" s="67">
        <f>IF(Record!AT13="","",Record!AT13)</f>
        <v>9</v>
      </c>
      <c r="E20" s="67">
        <f>IF(Record!AU13="","",Record!AU13)</f>
        <v>14</v>
      </c>
      <c r="F20" s="67" t="str">
        <f>IF(Record!AV13="","",Record!AV13)</f>
        <v/>
      </c>
      <c r="G20" s="68" t="str">
        <f>IF(Record!AW13="","",Record!AW13)</f>
        <v/>
      </c>
      <c r="H20" s="6">
        <f t="shared" ref="H20" si="30">IF(C20="","",(C20/$C$11)*50+50)</f>
        <v>96.666666666666657</v>
      </c>
      <c r="I20" s="6">
        <f t="shared" ref="I20" si="31">IF(D20="","",(D20/$D$11)*50+50)</f>
        <v>95</v>
      </c>
      <c r="J20" s="6">
        <f t="shared" ref="J20" si="32">IF(E20="","",(E20/$E$11)*50+50)</f>
        <v>96.666666666666657</v>
      </c>
      <c r="K20" s="6" t="str">
        <f t="shared" ref="K20" si="33">IF(F20="","",(F20/$F$11)*50+50)</f>
        <v/>
      </c>
      <c r="L20" s="6" t="str">
        <f t="shared" ref="L20" si="34">IF(G20="","",(G20/$G$11)*50+50)</f>
        <v/>
      </c>
      <c r="M20" s="7">
        <f t="shared" ref="M20" si="35">IFERROR(AVERAGE(H20:L20),"")</f>
        <v>96.1111111111111</v>
      </c>
      <c r="N20" s="66">
        <f>IF(Record!AX13="","",Record!AX13)</f>
        <v>10</v>
      </c>
      <c r="O20" s="67">
        <f>IF(Record!AY13="","",Record!AY13)</f>
        <v>9</v>
      </c>
      <c r="P20" s="67">
        <f>IF(Record!AZ13="","",Record!AZ13)</f>
        <v>10</v>
      </c>
      <c r="Q20" s="67">
        <f>IF(Record!BA13="","",Record!BA13)</f>
        <v>10</v>
      </c>
      <c r="R20" s="69" t="str">
        <f>IF(Record!BB13="","",Record!BB13)</f>
        <v/>
      </c>
      <c r="S20" s="6">
        <f t="shared" ref="S20" si="36">IF(N20="","",(N20/$N$11)*50+50)</f>
        <v>100</v>
      </c>
      <c r="T20" s="6">
        <f t="shared" ref="T20" si="37">IF(O20="","",(O20/$O$11)*50+50)</f>
        <v>95</v>
      </c>
      <c r="U20" s="6">
        <f t="shared" ref="U20" si="38">IF(P20="","",(P20/$P$11)*50+50)</f>
        <v>100</v>
      </c>
      <c r="V20" s="6">
        <f t="shared" ref="V20" si="39">IF(Q20="","",(Q20/$Q$11)*50+50)</f>
        <v>100</v>
      </c>
      <c r="W20" s="6" t="str">
        <f t="shared" ref="W20" si="40">IF(R20="","",(R20/$R$11)*50+50)</f>
        <v/>
      </c>
      <c r="X20" s="7">
        <f t="shared" ref="X20" si="41">IFERROR(AVERAGE(S20:W20),"")</f>
        <v>98.75</v>
      </c>
      <c r="Y20" s="66">
        <f>IF(Record!BC13="","",Record!BC13)</f>
        <v>33</v>
      </c>
      <c r="Z20" s="7">
        <f t="shared" ref="Z20" si="42">IF(Y20="","",(Y20/$Y$11)*50+50)</f>
        <v>91.25</v>
      </c>
      <c r="AA20" s="55">
        <f t="shared" ref="AA20" si="43">IFERROR((M20*0.4+X20*0.2+Z20*0.4),"")</f>
        <v>94.694444444444443</v>
      </c>
      <c r="AB20" s="8" t="str">
        <f t="shared" ref="AB20" si="44">IF(AA20="","", IF(AA20="-","Dropped",IF(AA20&gt;=74.5,"Passed","Failed")))</f>
        <v>Passed</v>
      </c>
    </row>
    <row r="21" spans="1:28" ht="16.5" customHeight="1" x14ac:dyDescent="0.25">
      <c r="A21" s="64">
        <f>IF(Record!A14="","",Record!A14)</f>
        <v>9</v>
      </c>
      <c r="B21" s="65" t="str">
        <f>IF(UPPER(Record!B14)="","",UPPER(Record!B14))</f>
        <v>STUDENT_9</v>
      </c>
      <c r="C21" s="66">
        <f>IF(Record!AS14="","",Record!AS14)</f>
        <v>10</v>
      </c>
      <c r="D21" s="67">
        <f>IF(Record!AT14="","",Record!AT14)</f>
        <v>9</v>
      </c>
      <c r="E21" s="67">
        <f>IF(Record!AU14="","",Record!AU14)</f>
        <v>7</v>
      </c>
      <c r="F21" s="67" t="str">
        <f>IF(Record!AV14="","",Record!AV14)</f>
        <v/>
      </c>
      <c r="G21" s="68" t="str">
        <f>IF(Record!AW14="","",Record!AW14)</f>
        <v/>
      </c>
      <c r="H21" s="6">
        <f t="shared" si="15"/>
        <v>83.333333333333329</v>
      </c>
      <c r="I21" s="6">
        <f t="shared" si="16"/>
        <v>95</v>
      </c>
      <c r="J21" s="6">
        <f t="shared" si="17"/>
        <v>73.333333333333329</v>
      </c>
      <c r="K21" s="6" t="str">
        <f t="shared" si="18"/>
        <v/>
      </c>
      <c r="L21" s="6" t="str">
        <f t="shared" si="19"/>
        <v/>
      </c>
      <c r="M21" s="7">
        <f t="shared" si="20"/>
        <v>83.888888888888872</v>
      </c>
      <c r="N21" s="66">
        <f>IF(Record!AX14="","",Record!AX14)</f>
        <v>8</v>
      </c>
      <c r="O21" s="67">
        <f>IF(Record!AY14="","",Record!AY14)</f>
        <v>8</v>
      </c>
      <c r="P21" s="67">
        <f>IF(Record!AZ14="","",Record!AZ14)</f>
        <v>8</v>
      </c>
      <c r="Q21" s="67">
        <f>IF(Record!BA14="","",Record!BA14)</f>
        <v>10</v>
      </c>
      <c r="R21" s="69" t="str">
        <f>IF(Record!BB14="","",Record!BB14)</f>
        <v/>
      </c>
      <c r="S21" s="6">
        <f t="shared" si="21"/>
        <v>90</v>
      </c>
      <c r="T21" s="6">
        <f t="shared" si="22"/>
        <v>90</v>
      </c>
      <c r="U21" s="6">
        <f t="shared" si="23"/>
        <v>90</v>
      </c>
      <c r="V21" s="6">
        <f t="shared" si="24"/>
        <v>100</v>
      </c>
      <c r="W21" s="6" t="str">
        <f t="shared" si="25"/>
        <v/>
      </c>
      <c r="X21" s="7">
        <f t="shared" si="26"/>
        <v>92.5</v>
      </c>
      <c r="Y21" s="66">
        <f>IF(Record!BC14="","",Record!BC14)</f>
        <v>21</v>
      </c>
      <c r="Z21" s="7">
        <f t="shared" si="27"/>
        <v>76.25</v>
      </c>
      <c r="AA21" s="55">
        <f t="shared" si="28"/>
        <v>82.555555555555543</v>
      </c>
      <c r="AB21" s="8" t="str">
        <f t="shared" si="29"/>
        <v>Passed</v>
      </c>
    </row>
    <row r="22" spans="1:28" ht="16.5" customHeight="1" x14ac:dyDescent="0.25">
      <c r="A22" s="64">
        <f>IF(Record!A15="","",Record!A15)</f>
        <v>10</v>
      </c>
      <c r="B22" s="65" t="str">
        <f>IF(UPPER(Record!B15)="","",UPPER(Record!B15))</f>
        <v>STUDENT_10</v>
      </c>
      <c r="C22" s="66">
        <f>IF(Record!AS15="","",Record!AS15)</f>
        <v>10</v>
      </c>
      <c r="D22" s="67">
        <f>IF(Record!AT15="","",Record!AT15)</f>
        <v>8</v>
      </c>
      <c r="E22" s="67">
        <f>IF(Record!AU15="","",Record!AU15)</f>
        <v>9</v>
      </c>
      <c r="F22" s="67" t="str">
        <f>IF(Record!AV15="","",Record!AV15)</f>
        <v/>
      </c>
      <c r="G22" s="68" t="str">
        <f>IF(Record!AW15="","",Record!AW15)</f>
        <v/>
      </c>
      <c r="H22" s="6">
        <f t="shared" si="15"/>
        <v>83.333333333333329</v>
      </c>
      <c r="I22" s="6">
        <f t="shared" si="16"/>
        <v>90</v>
      </c>
      <c r="J22" s="6">
        <f t="shared" si="17"/>
        <v>80</v>
      </c>
      <c r="K22" s="6" t="str">
        <f t="shared" si="18"/>
        <v/>
      </c>
      <c r="L22" s="6" t="str">
        <f t="shared" si="19"/>
        <v/>
      </c>
      <c r="M22" s="7">
        <f t="shared" si="20"/>
        <v>84.444444444444443</v>
      </c>
      <c r="N22" s="66">
        <f>IF(Record!AX15="","",Record!AX15)</f>
        <v>8</v>
      </c>
      <c r="O22" s="67">
        <f>IF(Record!AY15="","",Record!AY15)</f>
        <v>8</v>
      </c>
      <c r="P22" s="67">
        <f>IF(Record!AZ15="","",Record!AZ15)</f>
        <v>7</v>
      </c>
      <c r="Q22" s="67">
        <f>IF(Record!BA15="","",Record!BA15)</f>
        <v>9</v>
      </c>
      <c r="R22" s="69" t="str">
        <f>IF(Record!BB15="","",Record!BB15)</f>
        <v/>
      </c>
      <c r="S22" s="6">
        <f t="shared" si="21"/>
        <v>90</v>
      </c>
      <c r="T22" s="6">
        <f t="shared" si="22"/>
        <v>90</v>
      </c>
      <c r="U22" s="6">
        <f t="shared" si="23"/>
        <v>85</v>
      </c>
      <c r="V22" s="6">
        <f t="shared" si="24"/>
        <v>95</v>
      </c>
      <c r="W22" s="6" t="str">
        <f t="shared" si="25"/>
        <v/>
      </c>
      <c r="X22" s="7">
        <f t="shared" si="26"/>
        <v>90</v>
      </c>
      <c r="Y22" s="66">
        <f>IF(Record!BC15="","",Record!BC15)</f>
        <v>21</v>
      </c>
      <c r="Z22" s="7">
        <f t="shared" si="27"/>
        <v>76.25</v>
      </c>
      <c r="AA22" s="55">
        <f t="shared" si="28"/>
        <v>82.277777777777771</v>
      </c>
      <c r="AB22" s="8" t="str">
        <f t="shared" si="29"/>
        <v>Passed</v>
      </c>
    </row>
    <row r="23" spans="1:28" s="13" customFormat="1" ht="15" customHeight="1" thickBot="1" x14ac:dyDescent="0.3">
      <c r="A23" s="121"/>
      <c r="B23" s="122"/>
      <c r="C23" s="123"/>
      <c r="D23" s="124"/>
      <c r="E23" s="124"/>
      <c r="F23" s="124"/>
      <c r="G23" s="125"/>
      <c r="H23" s="126"/>
      <c r="I23" s="126"/>
      <c r="J23" s="126"/>
      <c r="K23" s="126"/>
      <c r="L23" s="126"/>
      <c r="M23" s="127"/>
      <c r="N23" s="123"/>
      <c r="O23" s="124"/>
      <c r="P23" s="124"/>
      <c r="Q23" s="124"/>
      <c r="R23" s="128"/>
      <c r="S23" s="126"/>
      <c r="T23" s="126"/>
      <c r="U23" s="126"/>
      <c r="V23" s="126"/>
      <c r="W23" s="126"/>
      <c r="X23" s="127"/>
      <c r="Y23" s="123"/>
      <c r="Z23" s="127"/>
      <c r="AA23" s="129"/>
      <c r="AB23" s="130"/>
    </row>
    <row r="24" spans="1:28" s="13" customFormat="1" ht="15" customHeight="1" x14ac:dyDescent="0.25">
      <c r="A24" s="78"/>
      <c r="B24" s="79"/>
      <c r="C24" s="80"/>
      <c r="D24" s="80"/>
      <c r="E24" s="80"/>
      <c r="F24" s="80"/>
      <c r="G24" s="80"/>
      <c r="H24" s="10"/>
      <c r="I24" s="10"/>
      <c r="J24" s="10"/>
      <c r="K24" s="10"/>
      <c r="L24" s="10"/>
      <c r="M24" s="10"/>
      <c r="N24" s="80"/>
      <c r="O24" s="80"/>
      <c r="P24" s="80"/>
      <c r="Q24" s="80"/>
      <c r="R24" s="41"/>
      <c r="S24" s="10"/>
      <c r="T24" s="10"/>
      <c r="U24" s="10"/>
      <c r="V24" s="10"/>
      <c r="W24" s="10"/>
      <c r="X24" s="10"/>
      <c r="Y24" s="80"/>
      <c r="Z24" s="10"/>
      <c r="AA24" s="94"/>
      <c r="AB24" s="12"/>
    </row>
    <row r="25" spans="1:28" s="13" customFormat="1" ht="15" customHeight="1" x14ac:dyDescent="0.25">
      <c r="A25" s="78"/>
      <c r="B25" s="79"/>
      <c r="C25" s="80"/>
      <c r="D25" s="80"/>
      <c r="E25" s="80"/>
      <c r="F25" s="80"/>
      <c r="G25" s="80"/>
      <c r="H25" s="10"/>
      <c r="I25" s="10"/>
      <c r="J25" s="10"/>
      <c r="K25" s="10"/>
      <c r="L25" s="10"/>
      <c r="M25" s="10"/>
      <c r="N25" s="80"/>
      <c r="O25" s="80"/>
      <c r="P25" s="80"/>
      <c r="Q25" s="80"/>
      <c r="R25" s="41"/>
      <c r="S25" s="10"/>
      <c r="T25" s="10"/>
      <c r="U25" s="10"/>
      <c r="V25" s="10"/>
      <c r="W25" s="10"/>
      <c r="X25" s="10"/>
      <c r="Y25" s="80"/>
      <c r="Z25" s="10"/>
      <c r="AA25" s="94"/>
      <c r="AB25" s="12"/>
    </row>
    <row r="26" spans="1:28" s="13" customFormat="1" ht="15" customHeight="1" x14ac:dyDescent="0.25">
      <c r="A26" s="78"/>
      <c r="B26" s="79"/>
      <c r="C26" s="80"/>
      <c r="D26" s="80"/>
      <c r="E26" s="80"/>
      <c r="F26" s="80"/>
      <c r="G26" s="80"/>
      <c r="H26" s="10"/>
      <c r="I26" s="10"/>
      <c r="J26" s="10"/>
      <c r="K26" s="10"/>
      <c r="L26" s="10"/>
      <c r="M26" s="10"/>
      <c r="N26" s="80"/>
      <c r="O26" s="80"/>
      <c r="P26" s="80"/>
      <c r="Q26" s="80"/>
      <c r="R26" s="41"/>
      <c r="S26" s="10"/>
      <c r="T26" s="10"/>
      <c r="U26" s="10"/>
      <c r="V26" s="10"/>
      <c r="W26" s="10"/>
      <c r="X26" s="10"/>
      <c r="Y26" s="80"/>
      <c r="Z26" s="10"/>
      <c r="AA26" s="94"/>
      <c r="AB26" s="12"/>
    </row>
    <row r="27" spans="1:28" s="13" customFormat="1" ht="15" customHeight="1" x14ac:dyDescent="0.25">
      <c r="A27" s="78"/>
      <c r="B27" s="79"/>
      <c r="C27" s="80"/>
      <c r="D27" s="80"/>
      <c r="E27" s="80"/>
      <c r="F27" s="80"/>
      <c r="G27" s="80"/>
      <c r="H27" s="10"/>
      <c r="I27" s="10"/>
      <c r="J27" s="10"/>
      <c r="K27" s="10"/>
      <c r="L27" s="10"/>
      <c r="M27" s="10"/>
      <c r="N27" s="80"/>
      <c r="O27" s="80"/>
      <c r="P27" s="80"/>
      <c r="Q27" s="80"/>
      <c r="R27" s="41"/>
      <c r="S27" s="10"/>
      <c r="T27" s="10"/>
      <c r="U27" s="10"/>
      <c r="V27" s="10"/>
      <c r="W27" s="10"/>
      <c r="X27" s="10"/>
      <c r="Y27" s="80"/>
      <c r="Z27" s="10"/>
      <c r="AA27" s="94"/>
      <c r="AB27" s="12"/>
    </row>
    <row r="28" spans="1:28" s="13" customFormat="1" ht="15" customHeight="1" x14ac:dyDescent="0.25">
      <c r="A28" s="78"/>
      <c r="B28" s="79"/>
      <c r="C28" s="80"/>
      <c r="D28" s="80"/>
      <c r="E28" s="80"/>
      <c r="F28" s="80"/>
      <c r="G28" s="80"/>
      <c r="H28" s="10"/>
      <c r="I28" s="10"/>
      <c r="J28" s="10"/>
      <c r="K28" s="10"/>
      <c r="L28" s="10"/>
      <c r="M28" s="10"/>
      <c r="N28" s="80"/>
      <c r="O28" s="80"/>
      <c r="P28" s="80"/>
      <c r="Q28" s="80"/>
      <c r="R28" s="41"/>
      <c r="S28" s="10"/>
      <c r="T28" s="10"/>
      <c r="U28" s="10"/>
      <c r="V28" s="10"/>
      <c r="W28" s="10"/>
      <c r="X28" s="10"/>
      <c r="Y28" s="80"/>
      <c r="Z28" s="10"/>
      <c r="AA28" s="94"/>
      <c r="AB28" s="12"/>
    </row>
    <row r="29" spans="1:28" s="13" customFormat="1" ht="15" customHeight="1" x14ac:dyDescent="0.25">
      <c r="A29" s="78"/>
      <c r="B29" s="79"/>
      <c r="C29" s="80"/>
      <c r="D29" s="80"/>
      <c r="E29" s="80"/>
      <c r="F29" s="80"/>
      <c r="G29" s="80"/>
      <c r="H29" s="10"/>
      <c r="I29" s="10"/>
      <c r="J29" s="10"/>
      <c r="K29" s="10"/>
      <c r="L29" s="10"/>
      <c r="M29" s="10"/>
      <c r="N29" s="80"/>
      <c r="O29" s="80"/>
      <c r="P29" s="80"/>
      <c r="Q29" s="80"/>
      <c r="R29" s="41"/>
      <c r="S29" s="10"/>
      <c r="T29" s="10"/>
      <c r="U29" s="10"/>
      <c r="V29" s="10"/>
      <c r="W29" s="10"/>
      <c r="X29" s="10"/>
      <c r="Y29" s="80"/>
      <c r="Z29" s="10"/>
      <c r="AA29" s="94"/>
      <c r="AB29" s="12"/>
    </row>
    <row r="30" spans="1:28" s="13" customFormat="1" ht="15" customHeight="1" x14ac:dyDescent="0.25">
      <c r="A30" s="78"/>
      <c r="B30" s="79"/>
      <c r="C30" s="80"/>
      <c r="D30" s="80"/>
      <c r="E30" s="80"/>
      <c r="F30" s="80"/>
      <c r="G30" s="80"/>
      <c r="H30" s="10"/>
      <c r="I30" s="10"/>
      <c r="J30" s="10"/>
      <c r="K30" s="10"/>
      <c r="L30" s="10"/>
      <c r="M30" s="10"/>
      <c r="N30" s="80"/>
      <c r="O30" s="80"/>
      <c r="P30" s="80"/>
      <c r="Q30" s="80"/>
      <c r="R30" s="41"/>
      <c r="S30" s="10"/>
      <c r="T30" s="10"/>
      <c r="U30" s="10"/>
      <c r="V30" s="10"/>
      <c r="W30" s="10"/>
      <c r="X30" s="10"/>
      <c r="Y30" s="80"/>
      <c r="Z30" s="10"/>
      <c r="AA30" s="94"/>
      <c r="AB30" s="12"/>
    </row>
    <row r="31" spans="1:28" s="13" customFormat="1" ht="15" customHeight="1" x14ac:dyDescent="0.25">
      <c r="A31" s="78"/>
      <c r="B31" s="79"/>
      <c r="C31" s="80"/>
      <c r="D31" s="80"/>
      <c r="E31" s="80"/>
      <c r="F31" s="80"/>
      <c r="G31" s="80"/>
      <c r="H31" s="10"/>
      <c r="I31" s="10"/>
      <c r="J31" s="10"/>
      <c r="K31" s="10"/>
      <c r="L31" s="10"/>
      <c r="M31" s="10"/>
      <c r="N31" s="80"/>
      <c r="O31" s="80"/>
      <c r="P31" s="80"/>
      <c r="Q31" s="80"/>
      <c r="R31" s="41"/>
      <c r="S31" s="10"/>
      <c r="T31" s="10"/>
      <c r="U31" s="10"/>
      <c r="V31" s="10"/>
      <c r="W31" s="10"/>
      <c r="X31" s="10"/>
      <c r="Y31" s="80"/>
      <c r="Z31" s="10"/>
      <c r="AA31" s="94"/>
      <c r="AB31" s="12"/>
    </row>
    <row r="32" spans="1:28" s="13" customFormat="1" ht="15" customHeight="1" x14ac:dyDescent="0.25">
      <c r="A32" s="78"/>
      <c r="B32" s="79"/>
      <c r="C32" s="80"/>
      <c r="D32" s="80"/>
      <c r="E32" s="80"/>
      <c r="F32" s="80"/>
      <c r="G32" s="80"/>
      <c r="H32" s="10"/>
      <c r="I32" s="10"/>
      <c r="J32" s="10"/>
      <c r="K32" s="10"/>
      <c r="L32" s="10"/>
      <c r="M32" s="10"/>
      <c r="N32" s="80"/>
      <c r="O32" s="80"/>
      <c r="P32" s="80"/>
      <c r="Q32" s="80"/>
      <c r="R32" s="41"/>
      <c r="S32" s="10"/>
      <c r="T32" s="10"/>
      <c r="U32" s="10"/>
      <c r="V32" s="10"/>
      <c r="W32" s="10"/>
      <c r="X32" s="10"/>
      <c r="Y32" s="80"/>
      <c r="Z32" s="10"/>
      <c r="AA32" s="94"/>
      <c r="AB32" s="12"/>
    </row>
    <row r="33" spans="1:28" s="13" customFormat="1" ht="15" customHeight="1" x14ac:dyDescent="0.25">
      <c r="A33" s="78"/>
      <c r="B33" s="79"/>
      <c r="C33" s="80"/>
      <c r="D33" s="80"/>
      <c r="E33" s="80"/>
      <c r="F33" s="80"/>
      <c r="G33" s="80"/>
      <c r="H33" s="10"/>
      <c r="I33" s="10"/>
      <c r="J33" s="10"/>
      <c r="K33" s="10"/>
      <c r="L33" s="10"/>
      <c r="M33" s="10"/>
      <c r="N33" s="80"/>
      <c r="O33" s="80"/>
      <c r="P33" s="80"/>
      <c r="Q33" s="80"/>
      <c r="R33" s="41"/>
      <c r="S33" s="10"/>
      <c r="T33" s="10"/>
      <c r="U33" s="10"/>
      <c r="V33" s="10"/>
      <c r="W33" s="10"/>
      <c r="X33" s="10"/>
      <c r="Y33" s="80"/>
      <c r="Z33" s="10"/>
      <c r="AA33" s="94"/>
      <c r="AB33" s="12"/>
    </row>
    <row r="34" spans="1:28" s="81" customFormat="1" ht="16.5" customHeight="1" x14ac:dyDescent="0.25">
      <c r="A34" s="211" t="s">
        <v>35</v>
      </c>
      <c r="B34" s="211"/>
      <c r="C34" s="211"/>
      <c r="D34" s="211"/>
      <c r="E34" s="211"/>
      <c r="F34" s="212" t="s">
        <v>36</v>
      </c>
      <c r="G34" s="212"/>
      <c r="H34" s="212"/>
      <c r="I34" s="212"/>
      <c r="J34" s="212"/>
      <c r="K34" s="212"/>
      <c r="L34" s="212"/>
      <c r="M34" s="212"/>
      <c r="N34" s="212"/>
      <c r="O34" s="212"/>
      <c r="P34" s="212"/>
      <c r="Q34" s="212"/>
      <c r="R34" s="212"/>
      <c r="S34" s="212"/>
      <c r="T34" s="212" t="s">
        <v>37</v>
      </c>
      <c r="U34" s="212"/>
      <c r="V34" s="212"/>
      <c r="W34" s="212"/>
      <c r="X34" s="212"/>
      <c r="Y34" s="212"/>
      <c r="Z34" s="212"/>
      <c r="AA34" s="212"/>
      <c r="AB34" s="212"/>
    </row>
    <row r="35" spans="1:28" ht="16.5" customHeight="1" x14ac:dyDescent="0.25">
      <c r="A35" s="203"/>
      <c r="B35" s="203"/>
      <c r="C35" s="203"/>
      <c r="D35" s="203"/>
      <c r="E35" s="203"/>
      <c r="F35" s="203"/>
      <c r="G35" s="203"/>
      <c r="H35" s="203"/>
      <c r="I35" s="203"/>
      <c r="J35" s="203"/>
      <c r="K35" s="203"/>
      <c r="L35" s="203"/>
      <c r="M35" s="203"/>
      <c r="N35" s="203"/>
      <c r="O35" s="203"/>
      <c r="P35" s="203"/>
      <c r="Q35" s="203"/>
      <c r="R35" s="203"/>
      <c r="S35" s="203"/>
      <c r="T35" s="203"/>
      <c r="U35" s="203"/>
      <c r="V35" s="203"/>
      <c r="W35" s="203"/>
      <c r="X35" s="203"/>
      <c r="Y35" s="203"/>
      <c r="Z35" s="203"/>
      <c r="AA35" s="203"/>
      <c r="AB35" s="203"/>
    </row>
    <row r="36" spans="1:28" s="83" customFormat="1" ht="16.5" customHeight="1" x14ac:dyDescent="0.25">
      <c r="A36" s="208" t="str">
        <f>IF(UPPER([1]Subject_Info!B7)="","",UPPER([1]Subject_Info!B7))</f>
        <v>JENNIFER L. PIDO</v>
      </c>
      <c r="B36" s="208"/>
      <c r="C36" s="208"/>
      <c r="D36" s="208"/>
      <c r="E36" s="208"/>
      <c r="F36" s="208" t="str">
        <f>IF(UPPER(Subject_Info!B8)="","",UPPER(Subject_Info!B8))</f>
        <v/>
      </c>
      <c r="G36" s="208"/>
      <c r="H36" s="208"/>
      <c r="I36" s="208"/>
      <c r="J36" s="208"/>
      <c r="K36" s="208"/>
      <c r="L36" s="208"/>
      <c r="M36" s="208"/>
      <c r="N36" s="208"/>
      <c r="O36" s="208"/>
      <c r="P36" s="208"/>
      <c r="Q36" s="208"/>
      <c r="R36" s="208"/>
      <c r="S36" s="208"/>
      <c r="T36" s="209" t="str">
        <f>IF(([1]Subject_Info!B9)="","",([1]Subject_Info!B9))</f>
        <v>DR. REYNALDO B. ROJO</v>
      </c>
      <c r="U36" s="209"/>
      <c r="V36" s="209"/>
      <c r="W36" s="209"/>
      <c r="X36" s="209"/>
      <c r="Y36" s="209"/>
      <c r="Z36" s="209"/>
      <c r="AA36" s="209"/>
      <c r="AB36" s="209"/>
    </row>
    <row r="37" spans="1:28" s="84" customFormat="1" ht="16.5" customHeight="1" x14ac:dyDescent="0.25">
      <c r="A37" s="210" t="s">
        <v>38</v>
      </c>
      <c r="B37" s="210"/>
      <c r="C37" s="210"/>
      <c r="D37" s="210"/>
      <c r="E37" s="210"/>
      <c r="F37" s="210" t="s">
        <v>39</v>
      </c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 t="s">
        <v>40</v>
      </c>
      <c r="U37" s="210"/>
      <c r="V37" s="210"/>
      <c r="W37" s="210"/>
      <c r="X37" s="210"/>
      <c r="Y37" s="210"/>
      <c r="Z37" s="210"/>
      <c r="AA37" s="210"/>
      <c r="AB37" s="210"/>
    </row>
  </sheetData>
  <sheetProtection selectLockedCells="1"/>
  <mergeCells count="51">
    <mergeCell ref="A37:E37"/>
    <mergeCell ref="F37:S37"/>
    <mergeCell ref="T37:AB37"/>
    <mergeCell ref="A35:E35"/>
    <mergeCell ref="F35:S35"/>
    <mergeCell ref="T35:AB35"/>
    <mergeCell ref="A36:E36"/>
    <mergeCell ref="F36:S36"/>
    <mergeCell ref="T36:AB36"/>
    <mergeCell ref="A34:E34"/>
    <mergeCell ref="F34:S34"/>
    <mergeCell ref="T34:AB34"/>
    <mergeCell ref="L10:L11"/>
    <mergeCell ref="W10:W11"/>
    <mergeCell ref="X10:X11"/>
    <mergeCell ref="M10:M11"/>
    <mergeCell ref="H10:H11"/>
    <mergeCell ref="I10:I11"/>
    <mergeCell ref="A8:AB8"/>
    <mergeCell ref="A9:A11"/>
    <mergeCell ref="C9:G9"/>
    <mergeCell ref="H9:M9"/>
    <mergeCell ref="N9:R9"/>
    <mergeCell ref="S9:X9"/>
    <mergeCell ref="Y9:Z9"/>
    <mergeCell ref="AA9:AA11"/>
    <mergeCell ref="AB9:AB11"/>
    <mergeCell ref="Y10:Z10"/>
    <mergeCell ref="S10:S11"/>
    <mergeCell ref="T10:T11"/>
    <mergeCell ref="V10:V11"/>
    <mergeCell ref="J10:J11"/>
    <mergeCell ref="K10:K11"/>
    <mergeCell ref="U10:U11"/>
    <mergeCell ref="A1:AB1"/>
    <mergeCell ref="A2:AB2"/>
    <mergeCell ref="A3:AB3"/>
    <mergeCell ref="A4:AB4"/>
    <mergeCell ref="C5:H5"/>
    <mergeCell ref="I5:L5"/>
    <mergeCell ref="M5:Q5"/>
    <mergeCell ref="R5:S5"/>
    <mergeCell ref="T5:W5"/>
    <mergeCell ref="R6:W6"/>
    <mergeCell ref="C7:H7"/>
    <mergeCell ref="I7:L7"/>
    <mergeCell ref="M7:Q7"/>
    <mergeCell ref="R7:W7"/>
    <mergeCell ref="C6:H6"/>
    <mergeCell ref="I6:L6"/>
    <mergeCell ref="M6:Q6"/>
  </mergeCells>
  <conditionalFormatting sqref="A4">
    <cfRule type="cellIs" dxfId="14" priority="39" stopIfTrue="1" operator="lessThan">
      <formula>75</formula>
    </cfRule>
  </conditionalFormatting>
  <conditionalFormatting sqref="A2:A4">
    <cfRule type="cellIs" dxfId="13" priority="38" stopIfTrue="1" operator="greaterThan">
      <formula>0</formula>
    </cfRule>
  </conditionalFormatting>
  <conditionalFormatting sqref="Z12:AA33 X12:X33 M12:M33">
    <cfRule type="cellIs" dxfId="12" priority="37" operator="lessThan">
      <formula>75</formula>
    </cfRule>
  </conditionalFormatting>
  <conditionalFormatting sqref="AB12:AB33">
    <cfRule type="cellIs" dxfId="11" priority="33" operator="equal">
      <formula>"Failed"</formula>
    </cfRule>
  </conditionalFormatting>
  <conditionalFormatting sqref="S12:W33 H12:L33">
    <cfRule type="cellIs" dxfId="10" priority="32" operator="lessThan">
      <formula>75</formula>
    </cfRule>
  </conditionalFormatting>
  <pageMargins left="0.19685039370078741" right="0.19685039370078741" top="0.39370078740157483" bottom="0.11811023622047245" header="0.31496062992125984" footer="0.31496062992125984"/>
  <pageSetup scale="85" orientation="landscape" horizontalDpi="4294967294" verticalDpi="0" r:id="rId1"/>
  <ignoredErrors>
    <ignoredError sqref="C5:H7 M6:Q7 Y11:Z11 Z10 Y10 AA12 C10:G11 N10:R11 Y13:Z13 AA13 C13:G13 N13:R13 Y14:Z15 C14:G15 N14:R15 AA14:AA15 Y12:Z12 C12:G12 N12:R12" unlocked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AB46"/>
  <sheetViews>
    <sheetView topLeftCell="A7" zoomScaleNormal="100" workbookViewId="0">
      <selection sqref="A1:Z1"/>
    </sheetView>
  </sheetViews>
  <sheetFormatPr defaultColWidth="9.140625" defaultRowHeight="16.5" x14ac:dyDescent="0.3"/>
  <cols>
    <col min="1" max="9" width="3.5703125" style="72" customWidth="1"/>
    <col min="10" max="10" width="5.140625" style="16" customWidth="1"/>
    <col min="11" max="11" width="4.5703125" style="16" customWidth="1"/>
    <col min="12" max="12" width="3.7109375" style="16" customWidth="1"/>
    <col min="13" max="13" width="4.140625" style="16" customWidth="1"/>
    <col min="14" max="14" width="5.140625" style="16" customWidth="1"/>
    <col min="15" max="15" width="3.85546875" style="16" customWidth="1"/>
    <col min="16" max="16" width="4" style="16" customWidth="1"/>
    <col min="17" max="19" width="3.28515625" style="16" customWidth="1"/>
    <col min="20" max="21" width="4.5703125" style="16" customWidth="1"/>
    <col min="22" max="24" width="5.140625" style="16" customWidth="1"/>
    <col min="25" max="25" width="1" style="16" customWidth="1"/>
    <col min="26" max="26" width="9.42578125" style="72" customWidth="1"/>
    <col min="27" max="16384" width="9.140625" style="16"/>
  </cols>
  <sheetData>
    <row r="1" spans="1:28" ht="18.75" x14ac:dyDescent="0.3">
      <c r="A1" s="204" t="s">
        <v>0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</row>
    <row r="2" spans="1:28" x14ac:dyDescent="0.3">
      <c r="A2" s="205" t="s">
        <v>60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</row>
    <row r="3" spans="1:28" ht="18.75" x14ac:dyDescent="0.3">
      <c r="A3" s="204"/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</row>
    <row r="4" spans="1:28" ht="18.75" x14ac:dyDescent="0.3">
      <c r="A4" s="206" t="s">
        <v>1</v>
      </c>
      <c r="B4" s="206"/>
      <c r="C4" s="206"/>
      <c r="D4" s="206"/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  <c r="W4" s="206"/>
      <c r="X4" s="206"/>
      <c r="Y4" s="206"/>
      <c r="Z4" s="206"/>
    </row>
    <row r="5" spans="1:28" x14ac:dyDescent="0.3">
      <c r="A5" s="255"/>
      <c r="B5" s="255"/>
      <c r="C5" s="255"/>
      <c r="D5" s="255"/>
      <c r="E5" s="255"/>
      <c r="F5" s="255"/>
      <c r="G5" s="255"/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5"/>
      <c r="S5" s="255"/>
      <c r="T5" s="255"/>
      <c r="U5" s="255"/>
      <c r="V5" s="255"/>
      <c r="W5" s="255"/>
      <c r="X5" s="255"/>
      <c r="Y5" s="255"/>
      <c r="Z5" s="255"/>
    </row>
    <row r="6" spans="1:28" x14ac:dyDescent="0.3">
      <c r="A6" s="254" t="s">
        <v>2</v>
      </c>
      <c r="B6" s="254"/>
      <c r="C6" s="254"/>
      <c r="D6" s="254"/>
      <c r="E6" s="254"/>
      <c r="F6" s="248" t="str">
        <f>IF(Subject_Info!B1="","",Subject_Info!B1)</f>
        <v/>
      </c>
      <c r="G6" s="248"/>
      <c r="H6" s="248"/>
      <c r="I6" s="248"/>
      <c r="J6" s="248"/>
      <c r="K6" s="248"/>
      <c r="L6" s="248"/>
      <c r="M6" s="71" t="s">
        <v>3</v>
      </c>
      <c r="N6" s="71"/>
      <c r="O6" s="71"/>
      <c r="P6" s="71"/>
      <c r="Q6" s="248" t="str">
        <f>IF(UPPER(Subject_Info!B4)="","",UPPER(Subject_Info!B4))</f>
        <v/>
      </c>
      <c r="R6" s="248"/>
      <c r="S6" s="248"/>
      <c r="T6" s="248"/>
      <c r="U6" s="248"/>
      <c r="V6" s="256" t="s">
        <v>6</v>
      </c>
      <c r="W6" s="256"/>
      <c r="X6" s="256"/>
      <c r="Y6" s="256"/>
      <c r="Z6" s="73">
        <f>COUNTIF(Z13:Z24,"Passed")</f>
        <v>10</v>
      </c>
    </row>
    <row r="7" spans="1:28" x14ac:dyDescent="0.3">
      <c r="A7" s="254" t="s">
        <v>7</v>
      </c>
      <c r="B7" s="254"/>
      <c r="C7" s="254"/>
      <c r="D7" s="254"/>
      <c r="E7" s="254"/>
      <c r="F7" s="248" t="str">
        <f>IF(Subject_Info!B2="","",Subject_Info!B2)</f>
        <v/>
      </c>
      <c r="G7" s="248"/>
      <c r="H7" s="248"/>
      <c r="I7" s="248"/>
      <c r="J7" s="248"/>
      <c r="K7" s="248"/>
      <c r="L7" s="248"/>
      <c r="M7" s="254" t="s">
        <v>8</v>
      </c>
      <c r="N7" s="254"/>
      <c r="O7" s="254"/>
      <c r="P7" s="254"/>
      <c r="Q7" s="248" t="str">
        <f>IF(Subject_Info!B5="","",Subject_Info!B5)</f>
        <v/>
      </c>
      <c r="R7" s="248"/>
      <c r="S7" s="248"/>
      <c r="T7" s="248"/>
      <c r="U7" s="248"/>
      <c r="V7" s="256" t="s">
        <v>9</v>
      </c>
      <c r="W7" s="256"/>
      <c r="X7" s="256"/>
      <c r="Y7" s="256"/>
      <c r="Z7" s="74">
        <f>COUNTIF(Z13:Z24,"Failed")</f>
        <v>0</v>
      </c>
    </row>
    <row r="8" spans="1:28" x14ac:dyDescent="0.3">
      <c r="A8" s="254" t="s">
        <v>10</v>
      </c>
      <c r="B8" s="254"/>
      <c r="C8" s="254"/>
      <c r="D8" s="254"/>
      <c r="E8" s="254"/>
      <c r="F8" s="248" t="str">
        <f>IF(Subject_Info!B3="","",Subject_Info!B3)</f>
        <v/>
      </c>
      <c r="G8" s="248"/>
      <c r="H8" s="248"/>
      <c r="I8" s="248"/>
      <c r="J8" s="248"/>
      <c r="K8" s="248"/>
      <c r="L8" s="248"/>
      <c r="M8" s="254" t="s">
        <v>11</v>
      </c>
      <c r="N8" s="254"/>
      <c r="O8" s="254"/>
      <c r="P8" s="254"/>
      <c r="Q8" s="248" t="str">
        <f>IF(Subject_Info!B6="","",Subject_Info!B6)</f>
        <v/>
      </c>
      <c r="R8" s="248"/>
      <c r="S8" s="248"/>
      <c r="T8" s="248"/>
      <c r="U8" s="248"/>
      <c r="V8" s="256" t="s">
        <v>12</v>
      </c>
      <c r="W8" s="256"/>
      <c r="X8" s="256"/>
      <c r="Y8" s="256"/>
      <c r="Z8" s="75">
        <f>COUNTIF(Z13:Z24,"Dropped")</f>
        <v>0</v>
      </c>
    </row>
    <row r="9" spans="1:28" ht="17.25" thickBot="1" x14ac:dyDescent="0.35">
      <c r="A9" s="274" t="s">
        <v>13</v>
      </c>
      <c r="B9" s="274"/>
      <c r="C9" s="274"/>
      <c r="D9" s="274"/>
      <c r="E9" s="274"/>
      <c r="F9" s="274"/>
      <c r="G9" s="274"/>
      <c r="H9" s="274"/>
      <c r="I9" s="274"/>
      <c r="J9" s="275"/>
      <c r="K9" s="275"/>
      <c r="L9" s="275"/>
      <c r="M9" s="275"/>
      <c r="N9" s="275"/>
      <c r="O9" s="275"/>
      <c r="P9" s="275"/>
      <c r="Q9" s="275"/>
      <c r="R9" s="275"/>
      <c r="S9" s="275"/>
      <c r="T9" s="275"/>
      <c r="U9" s="275"/>
      <c r="V9" s="275"/>
      <c r="W9" s="275"/>
      <c r="X9" s="275"/>
      <c r="Y9" s="275"/>
      <c r="Z9" s="275"/>
    </row>
    <row r="10" spans="1:28" s="77" customFormat="1" ht="15" customHeight="1" x14ac:dyDescent="0.25">
      <c r="A10" s="187" t="s">
        <v>14</v>
      </c>
      <c r="B10" s="187" t="s">
        <v>47</v>
      </c>
      <c r="C10" s="249"/>
      <c r="D10" s="249"/>
      <c r="E10" s="249"/>
      <c r="F10" s="249"/>
      <c r="G10" s="249"/>
      <c r="H10" s="249"/>
      <c r="I10" s="250"/>
      <c r="J10" s="245" t="s">
        <v>5</v>
      </c>
      <c r="K10" s="196"/>
      <c r="L10" s="196"/>
      <c r="M10" s="196" t="s">
        <v>41</v>
      </c>
      <c r="N10" s="196"/>
      <c r="O10" s="196"/>
      <c r="P10" s="196" t="s">
        <v>43</v>
      </c>
      <c r="Q10" s="196"/>
      <c r="R10" s="196"/>
      <c r="S10" s="196"/>
      <c r="T10" s="196" t="s">
        <v>44</v>
      </c>
      <c r="U10" s="196"/>
      <c r="V10" s="197"/>
      <c r="W10" s="229" t="s">
        <v>45</v>
      </c>
      <c r="X10" s="230"/>
      <c r="Y10" s="231"/>
      <c r="Z10" s="242" t="s">
        <v>46</v>
      </c>
    </row>
    <row r="11" spans="1:28" ht="15" customHeight="1" x14ac:dyDescent="0.3">
      <c r="A11" s="188"/>
      <c r="B11" s="188"/>
      <c r="C11" s="212"/>
      <c r="D11" s="212"/>
      <c r="E11" s="212"/>
      <c r="F11" s="212"/>
      <c r="G11" s="212"/>
      <c r="H11" s="212"/>
      <c r="I11" s="251"/>
      <c r="J11" s="246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9"/>
      <c r="W11" s="232"/>
      <c r="X11" s="233"/>
      <c r="Y11" s="234"/>
      <c r="Z11" s="243"/>
    </row>
    <row r="12" spans="1:28" s="85" customFormat="1" ht="15.75" customHeight="1" thickBot="1" x14ac:dyDescent="0.35">
      <c r="A12" s="189"/>
      <c r="B12" s="189"/>
      <c r="C12" s="252"/>
      <c r="D12" s="252"/>
      <c r="E12" s="252"/>
      <c r="F12" s="252"/>
      <c r="G12" s="252"/>
      <c r="H12" s="252"/>
      <c r="I12" s="253"/>
      <c r="J12" s="247"/>
      <c r="K12" s="240"/>
      <c r="L12" s="240"/>
      <c r="M12" s="240"/>
      <c r="N12" s="240"/>
      <c r="O12" s="240"/>
      <c r="P12" s="240"/>
      <c r="Q12" s="240"/>
      <c r="R12" s="240"/>
      <c r="S12" s="240"/>
      <c r="T12" s="240"/>
      <c r="U12" s="240"/>
      <c r="V12" s="241"/>
      <c r="W12" s="235"/>
      <c r="X12" s="236"/>
      <c r="Y12" s="237"/>
      <c r="Z12" s="244"/>
    </row>
    <row r="13" spans="1:28" ht="18" x14ac:dyDescent="0.3">
      <c r="A13" s="102" t="str">
        <f>IF(Record!A5="","",Record!A5)</f>
        <v/>
      </c>
      <c r="B13" s="267" t="str">
        <f>IF(UPPER(Record!B5)="","",UPPER(Record!B5))</f>
        <v/>
      </c>
      <c r="C13" s="268" t="str">
        <f>IF(Record!C5="","",Record!C5)</f>
        <v/>
      </c>
      <c r="D13" s="268" t="str">
        <f>IF(Record!D5="","",Record!D5)</f>
        <v/>
      </c>
      <c r="E13" s="268" t="str">
        <f>IF(Record!E5="","",Record!E5)</f>
        <v/>
      </c>
      <c r="F13" s="268" t="str">
        <f>IF(Record!F5="","",Record!F5)</f>
        <v/>
      </c>
      <c r="G13" s="268" t="str">
        <f>IF(Record!G5="","",Record!G5)</f>
        <v/>
      </c>
      <c r="H13" s="268" t="str">
        <f>IF(Record!H5="","",Record!H5)</f>
        <v/>
      </c>
      <c r="I13" s="269" t="str">
        <f>IF(Record!I5="","",Record!I5)</f>
        <v/>
      </c>
      <c r="J13" s="222" t="str">
        <f>IF(Prelim!AA12="","",Prelim!AA12)</f>
        <v/>
      </c>
      <c r="K13" s="223"/>
      <c r="L13" s="223"/>
      <c r="M13" s="223" t="str">
        <f>IF(Midterm!AA12="","",Midterm!AA12)</f>
        <v/>
      </c>
      <c r="N13" s="223"/>
      <c r="O13" s="223"/>
      <c r="P13" s="224" t="str">
        <f>IF(Prefinal!AA12="","",Prefinal!AA12)</f>
        <v/>
      </c>
      <c r="Q13" s="224"/>
      <c r="R13" s="224"/>
      <c r="S13" s="224"/>
      <c r="T13" s="224" t="str">
        <f>IF(Final!AA12="","",Final!AA12)</f>
        <v/>
      </c>
      <c r="U13" s="224"/>
      <c r="V13" s="225"/>
      <c r="W13" s="276" t="str">
        <f t="shared" ref="W13:W14" si="0">IFERROR(AVERAGE(J13:T13),"")</f>
        <v/>
      </c>
      <c r="X13" s="277"/>
      <c r="Y13" s="278"/>
      <c r="Z13" s="100" t="str">
        <f>IF(W13="","", IF(W13="-","Dropped",IF(W13&gt;=74.5,"Passed","Failed")))</f>
        <v/>
      </c>
      <c r="AB13" s="116"/>
    </row>
    <row r="14" spans="1:28" x14ac:dyDescent="0.3">
      <c r="A14" s="64">
        <f>IF(Record!A6="","",Record!A6)</f>
        <v>1</v>
      </c>
      <c r="B14" s="219" t="str">
        <f>IF(UPPER(Record!B6)="","",UPPER(Record!B6))</f>
        <v>STUDENT_1</v>
      </c>
      <c r="C14" s="220" t="str">
        <f>IF(Record!C6="","",Record!C6)</f>
        <v/>
      </c>
      <c r="D14" s="220" t="str">
        <f>IF(Record!D6="","",Record!D6)</f>
        <v/>
      </c>
      <c r="E14" s="220" t="str">
        <f>IF(Record!E6="","",Record!E6)</f>
        <v/>
      </c>
      <c r="F14" s="220" t="str">
        <f>IF(Record!F6="","",Record!F6)</f>
        <v/>
      </c>
      <c r="G14" s="220" t="str">
        <f>IF(Record!G6="","",Record!G6)</f>
        <v/>
      </c>
      <c r="H14" s="220" t="str">
        <f>IF(Record!H6="","",Record!H6)</f>
        <v/>
      </c>
      <c r="I14" s="221">
        <f>IF(Record!I6="","",Record!I6)</f>
        <v>5</v>
      </c>
      <c r="J14" s="222">
        <f>IF(Prelim!AA13="","",Prelim!AA13)</f>
        <v>87.311111111111103</v>
      </c>
      <c r="K14" s="223"/>
      <c r="L14" s="223"/>
      <c r="M14" s="223">
        <f>IF(Midterm!AA13="","",Midterm!AA13)</f>
        <v>90.908730158730151</v>
      </c>
      <c r="N14" s="223"/>
      <c r="O14" s="223"/>
      <c r="P14" s="224">
        <f>IF(Prefinal!AA13="","",Prefinal!AA13)</f>
        <v>92.365079365079367</v>
      </c>
      <c r="Q14" s="224"/>
      <c r="R14" s="224"/>
      <c r="S14" s="224"/>
      <c r="T14" s="224">
        <f>IF(Final!AA13="","",Final!AA13)</f>
        <v>99.305555555555543</v>
      </c>
      <c r="U14" s="224"/>
      <c r="V14" s="225"/>
      <c r="W14" s="226">
        <f t="shared" si="0"/>
        <v>92.472619047619048</v>
      </c>
      <c r="X14" s="227"/>
      <c r="Y14" s="228"/>
      <c r="Z14" s="100" t="str">
        <f t="shared" ref="Z14:Z17" si="1">IF(W14="","", IF(W14="-","Dropped",IF(W14&gt;=74.5,"Passed","Failed")))</f>
        <v>Passed</v>
      </c>
      <c r="AB14" s="116"/>
    </row>
    <row r="15" spans="1:28" x14ac:dyDescent="0.3">
      <c r="A15" s="64">
        <f>IF(Record!A7="","",Record!A7)</f>
        <v>2</v>
      </c>
      <c r="B15" s="219" t="str">
        <f>IF(UPPER(Record!B7)="","",UPPER(Record!B7))</f>
        <v>STUDENT_2</v>
      </c>
      <c r="C15" s="220" t="str">
        <f>IF(Record!C7="","",Record!C7)</f>
        <v/>
      </c>
      <c r="D15" s="220" t="str">
        <f>IF(Record!D7="","",Record!D7)</f>
        <v/>
      </c>
      <c r="E15" s="220" t="str">
        <f>IF(Record!E7="","",Record!E7)</f>
        <v/>
      </c>
      <c r="F15" s="220" t="str">
        <f>IF(Record!F7="","",Record!F7)</f>
        <v/>
      </c>
      <c r="G15" s="220" t="str">
        <f>IF(Record!G7="","",Record!G7)</f>
        <v/>
      </c>
      <c r="H15" s="220" t="str">
        <f>IF(Record!H7="","",Record!H7)</f>
        <v/>
      </c>
      <c r="I15" s="221">
        <f>IF(Record!I7="","",Record!I7)</f>
        <v>20</v>
      </c>
      <c r="J15" s="222">
        <f>IF(Prelim!AA14="","",Prelim!AA14)</f>
        <v>91.466666666666669</v>
      </c>
      <c r="K15" s="223"/>
      <c r="L15" s="223"/>
      <c r="M15" s="223">
        <f>IF(Midterm!AA14="","",Midterm!AA14)</f>
        <v>90.900793650793659</v>
      </c>
      <c r="N15" s="223"/>
      <c r="O15" s="223"/>
      <c r="P15" s="224">
        <f>IF(Prefinal!AA14="","",Prefinal!AA14)</f>
        <v>87.984126984126988</v>
      </c>
      <c r="Q15" s="224"/>
      <c r="R15" s="224"/>
      <c r="S15" s="224"/>
      <c r="T15" s="224">
        <f>IF(Final!AA14="","",Final!AA14)</f>
        <v>92.472222222222229</v>
      </c>
      <c r="U15" s="224"/>
      <c r="V15" s="225"/>
      <c r="W15" s="226">
        <f t="shared" ref="W15:W18" si="2">IFERROR(AVERAGE(J15:T15),"")</f>
        <v>90.705952380952382</v>
      </c>
      <c r="X15" s="227"/>
      <c r="Y15" s="228"/>
      <c r="Z15" s="100" t="str">
        <f>IF(W15="","", IF(W15="-","Dropped",IF(W15&gt;=74.5,"Passed","Failed")))</f>
        <v>Passed</v>
      </c>
      <c r="AB15" s="116"/>
    </row>
    <row r="16" spans="1:28" x14ac:dyDescent="0.3">
      <c r="A16" s="64">
        <f>IF(Record!A8="","",Record!A8)</f>
        <v>3</v>
      </c>
      <c r="B16" s="219" t="str">
        <f>IF(UPPER(Record!B8)="","",UPPER(Record!B8))</f>
        <v>STUDENT_3</v>
      </c>
      <c r="C16" s="220" t="str">
        <f>IF(Record!C8="","",Record!C8)</f>
        <v/>
      </c>
      <c r="D16" s="220" t="str">
        <f>IF(Record!D8="","",Record!D8)</f>
        <v/>
      </c>
      <c r="E16" s="220" t="str">
        <f>IF(Record!E8="","",Record!E8)</f>
        <v/>
      </c>
      <c r="F16" s="220" t="str">
        <f>IF(Record!F8="","",Record!F8)</f>
        <v/>
      </c>
      <c r="G16" s="220" t="str">
        <f>IF(Record!G8="","",Record!G8)</f>
        <v/>
      </c>
      <c r="H16" s="220" t="str">
        <f>IF(Record!H8="","",Record!H8)</f>
        <v/>
      </c>
      <c r="I16" s="221">
        <f>IF(Record!I8="","",Record!I8)</f>
        <v>5</v>
      </c>
      <c r="J16" s="222">
        <f>IF(Prelim!AA15="","",Prelim!AA15)</f>
        <v>84.288888888888891</v>
      </c>
      <c r="K16" s="223"/>
      <c r="L16" s="223"/>
      <c r="M16" s="223">
        <f>IF(Midterm!AA15="","",Midterm!AA15)</f>
        <v>84.972222222222229</v>
      </c>
      <c r="N16" s="223"/>
      <c r="O16" s="223"/>
      <c r="P16" s="224">
        <f>IF(Prefinal!AA15="","",Prefinal!AA15)</f>
        <v>69.19047619047619</v>
      </c>
      <c r="Q16" s="224"/>
      <c r="R16" s="224"/>
      <c r="S16" s="224"/>
      <c r="T16" s="224">
        <f>IF(Final!AA15="","",Final!AA15)</f>
        <v>87.694444444444443</v>
      </c>
      <c r="U16" s="224"/>
      <c r="V16" s="225"/>
      <c r="W16" s="226">
        <f t="shared" si="2"/>
        <v>81.536507936507945</v>
      </c>
      <c r="X16" s="227"/>
      <c r="Y16" s="228"/>
      <c r="Z16" s="100" t="str">
        <f t="shared" si="1"/>
        <v>Passed</v>
      </c>
      <c r="AB16" s="116"/>
    </row>
    <row r="17" spans="1:28" ht="15" customHeight="1" x14ac:dyDescent="0.3">
      <c r="A17" s="64">
        <f>IF(Record!A9="","",Record!A9)</f>
        <v>4</v>
      </c>
      <c r="B17" s="219" t="str">
        <f>IF(UPPER(Record!B9)="","",UPPER(Record!B9))</f>
        <v>STUDENT_4</v>
      </c>
      <c r="C17" s="220" t="str">
        <f>IF(Record!C9="","",Record!C9)</f>
        <v/>
      </c>
      <c r="D17" s="220" t="str">
        <f>IF(Record!D9="","",Record!D9)</f>
        <v/>
      </c>
      <c r="E17" s="220" t="str">
        <f>IF(Record!E9="","",Record!E9)</f>
        <v/>
      </c>
      <c r="F17" s="220" t="str">
        <f>IF(Record!F9="","",Record!F9)</f>
        <v/>
      </c>
      <c r="G17" s="220" t="str">
        <f>IF(Record!G9="","",Record!G9)</f>
        <v/>
      </c>
      <c r="H17" s="220" t="str">
        <f>IF(Record!H9="","",Record!H9)</f>
        <v/>
      </c>
      <c r="I17" s="221">
        <f>IF(Record!I9="","",Record!I9)</f>
        <v>5</v>
      </c>
      <c r="J17" s="222">
        <f>IF(Prelim!AA16="","",Prelim!AA16)</f>
        <v>85.800000000000011</v>
      </c>
      <c r="K17" s="223"/>
      <c r="L17" s="223"/>
      <c r="M17" s="223">
        <f>IF(Midterm!AA16="","",Midterm!AA16)</f>
        <v>93.32936507936509</v>
      </c>
      <c r="N17" s="223"/>
      <c r="O17" s="223"/>
      <c r="P17" s="224">
        <f>IF(Prefinal!AA16="","",Prefinal!AA16)</f>
        <v>91.142857142857139</v>
      </c>
      <c r="Q17" s="224"/>
      <c r="R17" s="224"/>
      <c r="S17" s="224"/>
      <c r="T17" s="224">
        <f>IF(Final!AA16="","",Final!AA16)</f>
        <v>94.305555555555571</v>
      </c>
      <c r="U17" s="224"/>
      <c r="V17" s="225"/>
      <c r="W17" s="226">
        <f t="shared" si="2"/>
        <v>91.144444444444446</v>
      </c>
      <c r="X17" s="227"/>
      <c r="Y17" s="228"/>
      <c r="Z17" s="100" t="str">
        <f t="shared" si="1"/>
        <v>Passed</v>
      </c>
      <c r="AB17" s="116"/>
    </row>
    <row r="18" spans="1:28" x14ac:dyDescent="0.3">
      <c r="A18" s="64">
        <f>IF(Record!A10="","",Record!A10)</f>
        <v>5</v>
      </c>
      <c r="B18" s="219" t="str">
        <f>IF(UPPER(Record!B10)="","",UPPER(Record!B10))</f>
        <v>STUDENT_5</v>
      </c>
      <c r="C18" s="220" t="str">
        <f>IF(Record!C10="","",Record!C10)</f>
        <v/>
      </c>
      <c r="D18" s="220" t="str">
        <f>IF(Record!D10="","",Record!D10)</f>
        <v/>
      </c>
      <c r="E18" s="220" t="str">
        <f>IF(Record!E10="","",Record!E10)</f>
        <v/>
      </c>
      <c r="F18" s="220" t="str">
        <f>IF(Record!F10="","",Record!F10)</f>
        <v/>
      </c>
      <c r="G18" s="220" t="str">
        <f>IF(Record!G10="","",Record!G10)</f>
        <v/>
      </c>
      <c r="H18" s="220" t="str">
        <f>IF(Record!H10="","",Record!H10)</f>
        <v/>
      </c>
      <c r="I18" s="221">
        <f>IF(Record!I10="","",Record!I10)</f>
        <v>17</v>
      </c>
      <c r="J18" s="222">
        <f>IF(Prelim!AA17="","",Prelim!AA17)</f>
        <v>85.066666666666663</v>
      </c>
      <c r="K18" s="223"/>
      <c r="L18" s="223"/>
      <c r="M18" s="223">
        <f>IF(Midterm!AA17="","",Midterm!AA17)</f>
        <v>92.007936507936506</v>
      </c>
      <c r="N18" s="223"/>
      <c r="O18" s="223"/>
      <c r="P18" s="224">
        <f>IF(Prefinal!AA17="","",Prefinal!AA17)</f>
        <v>79.095238095238102</v>
      </c>
      <c r="Q18" s="224"/>
      <c r="R18" s="224"/>
      <c r="S18" s="224"/>
      <c r="T18" s="224">
        <f>IF(Final!AA17="","",Final!AA17)</f>
        <v>88.055555555555543</v>
      </c>
      <c r="U18" s="224"/>
      <c r="V18" s="225"/>
      <c r="W18" s="226">
        <f t="shared" si="2"/>
        <v>86.056349206349211</v>
      </c>
      <c r="X18" s="227"/>
      <c r="Y18" s="228"/>
      <c r="Z18" s="100" t="str">
        <f t="shared" ref="Z18:Z23" si="3">IF(W18="","", IF(W18="-","Dropped",IF(W18&gt;=74.5,"Passed","Failed")))</f>
        <v>Passed</v>
      </c>
      <c r="AB18" s="116"/>
    </row>
    <row r="19" spans="1:28" x14ac:dyDescent="0.3">
      <c r="A19" s="64">
        <f>IF(Record!A11="","",Record!A11)</f>
        <v>6</v>
      </c>
      <c r="B19" s="219" t="str">
        <f>IF(UPPER(Record!B11)="","",UPPER(Record!B11))</f>
        <v>STUDENT_6</v>
      </c>
      <c r="C19" s="220" t="str">
        <f>IF(Record!C11="","",Record!C11)</f>
        <v/>
      </c>
      <c r="D19" s="220" t="str">
        <f>IF(Record!D11="","",Record!D11)</f>
        <v/>
      </c>
      <c r="E19" s="220" t="str">
        <f>IF(Record!E11="","",Record!E11)</f>
        <v/>
      </c>
      <c r="F19" s="220" t="str">
        <f>IF(Record!F11="","",Record!F11)</f>
        <v/>
      </c>
      <c r="G19" s="220" t="str">
        <f>IF(Record!G11="","",Record!G11)</f>
        <v/>
      </c>
      <c r="H19" s="220" t="str">
        <f>IF(Record!H11="","",Record!H11)</f>
        <v/>
      </c>
      <c r="I19" s="221">
        <f>IF(Record!I11="","",Record!I11)</f>
        <v>5</v>
      </c>
      <c r="J19" s="222">
        <f>IF(Prelim!AA18="","",Prelim!AA18)</f>
        <v>80.155555555555566</v>
      </c>
      <c r="K19" s="223"/>
      <c r="L19" s="223"/>
      <c r="M19" s="223">
        <f>IF(Midterm!AA18="","",Midterm!AA18)</f>
        <v>81.892857142857139</v>
      </c>
      <c r="N19" s="223"/>
      <c r="O19" s="223"/>
      <c r="P19" s="224">
        <f>IF(Prefinal!AA18="","",Prefinal!AA18)</f>
        <v>74.61904761904762</v>
      </c>
      <c r="Q19" s="224"/>
      <c r="R19" s="224"/>
      <c r="S19" s="224"/>
      <c r="T19" s="224">
        <f>IF(Final!AA18="","",Final!AA18)</f>
        <v>80.944444444444443</v>
      </c>
      <c r="U19" s="224"/>
      <c r="V19" s="225"/>
      <c r="W19" s="226">
        <f t="shared" ref="W19:W20" si="4">IFERROR(AVERAGE(J19:T19),"")</f>
        <v>79.402976190476195</v>
      </c>
      <c r="X19" s="227"/>
      <c r="Y19" s="228"/>
      <c r="Z19" s="100" t="str">
        <f t="shared" si="3"/>
        <v>Passed</v>
      </c>
      <c r="AB19" s="116"/>
    </row>
    <row r="20" spans="1:28" x14ac:dyDescent="0.3">
      <c r="A20" s="64">
        <f>IF(Record!A12="","",Record!A12)</f>
        <v>7</v>
      </c>
      <c r="B20" s="219" t="str">
        <f>IF(UPPER(Record!B12)="","",UPPER(Record!B12))</f>
        <v>STUDENT_7</v>
      </c>
      <c r="C20" s="220" t="str">
        <f>IF(Record!C12="","",Record!C12)</f>
        <v/>
      </c>
      <c r="D20" s="220" t="str">
        <f>IF(Record!D12="","",Record!D12)</f>
        <v/>
      </c>
      <c r="E20" s="220" t="str">
        <f>IF(Record!E12="","",Record!E12)</f>
        <v/>
      </c>
      <c r="F20" s="220" t="str">
        <f>IF(Record!F12="","",Record!F12)</f>
        <v/>
      </c>
      <c r="G20" s="220" t="str">
        <f>IF(Record!G12="","",Record!G12)</f>
        <v/>
      </c>
      <c r="H20" s="220" t="str">
        <f>IF(Record!H12="","",Record!H12)</f>
        <v/>
      </c>
      <c r="I20" s="221">
        <f>IF(Record!I12="","",Record!I12)</f>
        <v>19</v>
      </c>
      <c r="J20" s="222">
        <f>IF(Prelim!AA19="","",Prelim!AA19)</f>
        <v>91.222222222222229</v>
      </c>
      <c r="K20" s="223"/>
      <c r="L20" s="223"/>
      <c r="M20" s="223">
        <f>IF(Midterm!AA19="","",Midterm!AA19)</f>
        <v>89.734126984127002</v>
      </c>
      <c r="N20" s="223"/>
      <c r="O20" s="223"/>
      <c r="P20" s="224">
        <f>IF(Prefinal!AA19="","",Prefinal!AA19)</f>
        <v>90.158730158730165</v>
      </c>
      <c r="Q20" s="224"/>
      <c r="R20" s="224"/>
      <c r="S20" s="224"/>
      <c r="T20" s="224">
        <f>IF(Final!AA19="","",Final!AA19)</f>
        <v>85.055555555555543</v>
      </c>
      <c r="U20" s="224"/>
      <c r="V20" s="225"/>
      <c r="W20" s="226">
        <f t="shared" si="4"/>
        <v>89.042658730158735</v>
      </c>
      <c r="X20" s="227"/>
      <c r="Y20" s="228"/>
      <c r="Z20" s="100" t="str">
        <f t="shared" si="3"/>
        <v>Passed</v>
      </c>
      <c r="AB20" s="116"/>
    </row>
    <row r="21" spans="1:28" ht="15" customHeight="1" x14ac:dyDescent="0.3">
      <c r="A21" s="64">
        <f>IF(Record!A13="","",Record!A13)</f>
        <v>8</v>
      </c>
      <c r="B21" s="219" t="str">
        <f>IF(UPPER(Record!B13)="","",UPPER(Record!B13))</f>
        <v>STUDENT_8</v>
      </c>
      <c r="C21" s="220" t="str">
        <f>IF(Record!C13="","",Record!C13)</f>
        <v/>
      </c>
      <c r="D21" s="220" t="str">
        <f>IF(Record!D13="","",Record!D13)</f>
        <v/>
      </c>
      <c r="E21" s="220" t="str">
        <f>IF(Record!E13="","",Record!E13)</f>
        <v/>
      </c>
      <c r="F21" s="220" t="str">
        <f>IF(Record!F13="","",Record!F13)</f>
        <v/>
      </c>
      <c r="G21" s="220" t="str">
        <f>IF(Record!G13="","",Record!G13)</f>
        <v/>
      </c>
      <c r="H21" s="220" t="str">
        <f>IF(Record!H13="","",Record!H13)</f>
        <v/>
      </c>
      <c r="I21" s="221">
        <f>IF(Record!I13="","",Record!I13)</f>
        <v>20</v>
      </c>
      <c r="J21" s="222">
        <f>IF(Prelim!AA20="","",Prelim!AA20)</f>
        <v>95.466666666666669</v>
      </c>
      <c r="K21" s="223"/>
      <c r="L21" s="223"/>
      <c r="M21" s="223">
        <f>IF(Midterm!AA20="","",Midterm!AA20)</f>
        <v>94.396825396825406</v>
      </c>
      <c r="N21" s="223"/>
      <c r="O21" s="223"/>
      <c r="P21" s="224">
        <f>IF(Prefinal!AA20="","",Prefinal!AA20)</f>
        <v>90.253968253968253</v>
      </c>
      <c r="Q21" s="224"/>
      <c r="R21" s="224"/>
      <c r="S21" s="224"/>
      <c r="T21" s="224">
        <f>IF(Final!AA20="","",Final!AA20)</f>
        <v>94.694444444444443</v>
      </c>
      <c r="U21" s="224"/>
      <c r="V21" s="225"/>
      <c r="W21" s="226">
        <f t="shared" ref="W21:W23" si="5">IFERROR(AVERAGE(J21:T21),"")</f>
        <v>93.702976190476193</v>
      </c>
      <c r="X21" s="227"/>
      <c r="Y21" s="228"/>
      <c r="Z21" s="100" t="str">
        <f t="shared" si="3"/>
        <v>Passed</v>
      </c>
      <c r="AB21" s="116"/>
    </row>
    <row r="22" spans="1:28" x14ac:dyDescent="0.3">
      <c r="A22" s="64">
        <f>IF(Record!A14="","",Record!A14)</f>
        <v>9</v>
      </c>
      <c r="B22" s="219" t="str">
        <f>IF(UPPER(Record!B14)="","",UPPER(Record!B14))</f>
        <v>STUDENT_9</v>
      </c>
      <c r="C22" s="220" t="str">
        <f>IF(Record!C14="","",Record!C14)</f>
        <v/>
      </c>
      <c r="D22" s="220" t="str">
        <f>IF(Record!D14="","",Record!D14)</f>
        <v/>
      </c>
      <c r="E22" s="220" t="str">
        <f>IF(Record!E14="","",Record!E14)</f>
        <v/>
      </c>
      <c r="F22" s="220" t="str">
        <f>IF(Record!F14="","",Record!F14)</f>
        <v/>
      </c>
      <c r="G22" s="220" t="str">
        <f>IF(Record!G14="","",Record!G14)</f>
        <v/>
      </c>
      <c r="H22" s="220" t="str">
        <f>IF(Record!H14="","",Record!H14)</f>
        <v/>
      </c>
      <c r="I22" s="221">
        <f>IF(Record!I14="","",Record!I14)</f>
        <v>10</v>
      </c>
      <c r="J22" s="222">
        <f>IF(Prelim!AA21="","",Prelim!AA21)</f>
        <v>82.222222222222229</v>
      </c>
      <c r="K22" s="223"/>
      <c r="L22" s="223"/>
      <c r="M22" s="223">
        <f>IF(Midterm!AA21="","",Midterm!AA21)</f>
        <v>86.206349206349216</v>
      </c>
      <c r="N22" s="223"/>
      <c r="O22" s="223"/>
      <c r="P22" s="224">
        <f>IF(Prefinal!AA21="","",Prefinal!AA21)</f>
        <v>83.841269841269849</v>
      </c>
      <c r="Q22" s="224"/>
      <c r="R22" s="224"/>
      <c r="S22" s="224"/>
      <c r="T22" s="224">
        <f>IF(Final!AA21="","",Final!AA21)</f>
        <v>82.555555555555543</v>
      </c>
      <c r="U22" s="224"/>
      <c r="V22" s="225"/>
      <c r="W22" s="226">
        <f t="shared" si="5"/>
        <v>83.706349206349216</v>
      </c>
      <c r="X22" s="227"/>
      <c r="Y22" s="228"/>
      <c r="Z22" s="100" t="str">
        <f t="shared" si="3"/>
        <v>Passed</v>
      </c>
      <c r="AB22" s="116"/>
    </row>
    <row r="23" spans="1:28" x14ac:dyDescent="0.3">
      <c r="A23" s="64">
        <f>IF(Record!A15="","",Record!A15)</f>
        <v>10</v>
      </c>
      <c r="B23" s="219" t="str">
        <f>IF(UPPER(Record!B15)="","",UPPER(Record!B15))</f>
        <v>STUDENT_10</v>
      </c>
      <c r="C23" s="220" t="str">
        <f>IF(Record!C15="","",Record!C15)</f>
        <v/>
      </c>
      <c r="D23" s="220" t="str">
        <f>IF(Record!D15="","",Record!D15)</f>
        <v/>
      </c>
      <c r="E23" s="220" t="str">
        <f>IF(Record!E15="","",Record!E15)</f>
        <v/>
      </c>
      <c r="F23" s="220" t="str">
        <f>IF(Record!F15="","",Record!F15)</f>
        <v/>
      </c>
      <c r="G23" s="220" t="str">
        <f>IF(Record!G15="","",Record!G15)</f>
        <v/>
      </c>
      <c r="H23" s="220" t="str">
        <f>IF(Record!H15="","",Record!H15)</f>
        <v/>
      </c>
      <c r="I23" s="221">
        <f>IF(Record!I15="","",Record!I15)</f>
        <v>5</v>
      </c>
      <c r="J23" s="222">
        <f>IF(Prelim!AA22="","",Prelim!AA22)</f>
        <v>69.888888888888886</v>
      </c>
      <c r="K23" s="223"/>
      <c r="L23" s="223"/>
      <c r="M23" s="223">
        <f>IF(Midterm!AA22="","",Midterm!AA22)</f>
        <v>75.091269841269849</v>
      </c>
      <c r="N23" s="223"/>
      <c r="O23" s="223"/>
      <c r="P23" s="224">
        <f>IF(Prefinal!AA22="","",Prefinal!AA22)</f>
        <v>74.682539682539698</v>
      </c>
      <c r="Q23" s="224"/>
      <c r="R23" s="224"/>
      <c r="S23" s="224"/>
      <c r="T23" s="224">
        <f>IF(Final!AA22="","",Final!AA22)</f>
        <v>82.277777777777771</v>
      </c>
      <c r="U23" s="224"/>
      <c r="V23" s="225"/>
      <c r="W23" s="226">
        <f t="shared" si="5"/>
        <v>75.485119047619051</v>
      </c>
      <c r="X23" s="227"/>
      <c r="Y23" s="228"/>
      <c r="Z23" s="100" t="str">
        <f t="shared" si="3"/>
        <v>Passed</v>
      </c>
      <c r="AB23" s="116"/>
    </row>
    <row r="24" spans="1:28" s="43" customFormat="1" ht="18.75" thickBot="1" x14ac:dyDescent="0.4">
      <c r="A24" s="121" t="str">
        <f>IF(Record!A16="","",Record!A16)</f>
        <v/>
      </c>
      <c r="B24" s="257"/>
      <c r="C24" s="258"/>
      <c r="D24" s="258"/>
      <c r="E24" s="258"/>
      <c r="F24" s="258"/>
      <c r="G24" s="258"/>
      <c r="H24" s="258"/>
      <c r="I24" s="259"/>
      <c r="J24" s="265"/>
      <c r="K24" s="266"/>
      <c r="L24" s="266"/>
      <c r="M24" s="266"/>
      <c r="N24" s="266"/>
      <c r="O24" s="266"/>
      <c r="P24" s="260"/>
      <c r="Q24" s="260"/>
      <c r="R24" s="260"/>
      <c r="S24" s="260"/>
      <c r="T24" s="260"/>
      <c r="U24" s="260"/>
      <c r="V24" s="261"/>
      <c r="W24" s="262"/>
      <c r="X24" s="263"/>
      <c r="Y24" s="264"/>
      <c r="Z24" s="131"/>
    </row>
    <row r="25" spans="1:28" s="43" customFormat="1" ht="18" x14ac:dyDescent="0.35">
      <c r="A25" s="78"/>
      <c r="B25" s="120"/>
      <c r="C25" s="120"/>
      <c r="D25" s="120"/>
      <c r="E25" s="120"/>
      <c r="F25" s="120"/>
      <c r="G25" s="120"/>
      <c r="H25" s="120"/>
      <c r="I25" s="120"/>
      <c r="J25" s="96"/>
      <c r="K25" s="96"/>
      <c r="L25" s="96"/>
      <c r="M25" s="96"/>
      <c r="N25" s="96"/>
      <c r="O25" s="96"/>
      <c r="P25" s="97"/>
      <c r="Q25" s="97"/>
      <c r="R25" s="97"/>
      <c r="S25" s="97"/>
      <c r="T25" s="97"/>
      <c r="U25" s="97"/>
      <c r="V25" s="97"/>
      <c r="W25" s="98"/>
      <c r="X25" s="98"/>
      <c r="Y25" s="98"/>
      <c r="Z25" s="99"/>
    </row>
    <row r="26" spans="1:28" s="43" customFormat="1" ht="18" x14ac:dyDescent="0.35">
      <c r="A26" s="78"/>
      <c r="B26" s="120"/>
      <c r="C26" s="120"/>
      <c r="D26" s="120"/>
      <c r="E26" s="120"/>
      <c r="F26" s="120"/>
      <c r="G26" s="120"/>
      <c r="H26" s="120"/>
      <c r="I26" s="120"/>
      <c r="J26" s="96"/>
      <c r="K26" s="96"/>
      <c r="L26" s="96"/>
      <c r="M26" s="96"/>
      <c r="N26" s="96"/>
      <c r="O26" s="96"/>
      <c r="P26" s="97"/>
      <c r="Q26" s="97"/>
      <c r="R26" s="97"/>
      <c r="S26" s="97"/>
      <c r="T26" s="97"/>
      <c r="U26" s="97"/>
      <c r="V26" s="97"/>
      <c r="W26" s="98"/>
      <c r="X26" s="98"/>
      <c r="Y26" s="98"/>
      <c r="Z26" s="99"/>
    </row>
    <row r="27" spans="1:28" s="43" customFormat="1" ht="18" x14ac:dyDescent="0.35">
      <c r="A27" s="78"/>
      <c r="B27" s="120"/>
      <c r="C27" s="120"/>
      <c r="D27" s="120"/>
      <c r="E27" s="120"/>
      <c r="F27" s="120"/>
      <c r="G27" s="120"/>
      <c r="H27" s="120"/>
      <c r="I27" s="120"/>
      <c r="J27" s="96"/>
      <c r="K27" s="96"/>
      <c r="L27" s="96"/>
      <c r="M27" s="96"/>
      <c r="N27" s="96"/>
      <c r="O27" s="96"/>
      <c r="P27" s="97"/>
      <c r="Q27" s="97"/>
      <c r="R27" s="97"/>
      <c r="S27" s="97"/>
      <c r="T27" s="97"/>
      <c r="U27" s="97"/>
      <c r="V27" s="97"/>
      <c r="W27" s="98"/>
      <c r="X27" s="98"/>
      <c r="Y27" s="98"/>
      <c r="Z27" s="99"/>
    </row>
    <row r="28" spans="1:28" s="43" customFormat="1" ht="18" x14ac:dyDescent="0.35">
      <c r="A28" s="78"/>
      <c r="B28" s="120"/>
      <c r="C28" s="120"/>
      <c r="D28" s="120"/>
      <c r="E28" s="120"/>
      <c r="F28" s="120"/>
      <c r="G28" s="120"/>
      <c r="H28" s="120"/>
      <c r="I28" s="120"/>
      <c r="J28" s="96"/>
      <c r="K28" s="96"/>
      <c r="L28" s="96"/>
      <c r="M28" s="96"/>
      <c r="N28" s="96"/>
      <c r="O28" s="96"/>
      <c r="P28" s="97"/>
      <c r="Q28" s="97"/>
      <c r="R28" s="97"/>
      <c r="S28" s="97"/>
      <c r="T28" s="97"/>
      <c r="U28" s="97"/>
      <c r="V28" s="97"/>
      <c r="W28" s="98"/>
      <c r="X28" s="98"/>
      <c r="Y28" s="98"/>
      <c r="Z28" s="99"/>
    </row>
    <row r="29" spans="1:28" s="43" customFormat="1" ht="18" x14ac:dyDescent="0.35">
      <c r="A29" s="78"/>
      <c r="B29" s="120"/>
      <c r="C29" s="120"/>
      <c r="D29" s="120"/>
      <c r="E29" s="120"/>
      <c r="F29" s="120"/>
      <c r="G29" s="120"/>
      <c r="H29" s="120"/>
      <c r="I29" s="120"/>
      <c r="J29" s="96"/>
      <c r="K29" s="96"/>
      <c r="L29" s="96"/>
      <c r="M29" s="96"/>
      <c r="N29" s="96"/>
      <c r="O29" s="96"/>
      <c r="P29" s="97"/>
      <c r="Q29" s="97"/>
      <c r="R29" s="97"/>
      <c r="S29" s="97"/>
      <c r="T29" s="97"/>
      <c r="U29" s="97"/>
      <c r="V29" s="97"/>
      <c r="W29" s="98"/>
      <c r="X29" s="98"/>
      <c r="Y29" s="98"/>
      <c r="Z29" s="99"/>
    </row>
    <row r="30" spans="1:28" s="43" customFormat="1" ht="18" x14ac:dyDescent="0.35">
      <c r="A30" s="78"/>
      <c r="B30" s="120"/>
      <c r="C30" s="120"/>
      <c r="D30" s="120"/>
      <c r="E30" s="120"/>
      <c r="F30" s="120"/>
      <c r="G30" s="120"/>
      <c r="H30" s="120"/>
      <c r="I30" s="120"/>
      <c r="J30" s="96"/>
      <c r="K30" s="96"/>
      <c r="L30" s="96"/>
      <c r="M30" s="96"/>
      <c r="N30" s="96"/>
      <c r="O30" s="96"/>
      <c r="P30" s="97"/>
      <c r="Q30" s="97"/>
      <c r="R30" s="97"/>
      <c r="S30" s="97"/>
      <c r="T30" s="97"/>
      <c r="U30" s="97"/>
      <c r="V30" s="97"/>
      <c r="W30" s="98"/>
      <c r="X30" s="98"/>
      <c r="Y30" s="98"/>
      <c r="Z30" s="99"/>
    </row>
    <row r="31" spans="1:28" s="43" customFormat="1" ht="18" x14ac:dyDescent="0.35">
      <c r="A31" s="78"/>
      <c r="B31" s="120"/>
      <c r="C31" s="120"/>
      <c r="D31" s="120"/>
      <c r="E31" s="120"/>
      <c r="F31" s="120"/>
      <c r="G31" s="120"/>
      <c r="H31" s="120"/>
      <c r="I31" s="120"/>
      <c r="J31" s="96"/>
      <c r="K31" s="96"/>
      <c r="L31" s="96"/>
      <c r="M31" s="96"/>
      <c r="N31" s="96"/>
      <c r="O31" s="96"/>
      <c r="P31" s="97"/>
      <c r="Q31" s="97"/>
      <c r="R31" s="97"/>
      <c r="S31" s="97"/>
      <c r="T31" s="97"/>
      <c r="U31" s="97"/>
      <c r="V31" s="97"/>
      <c r="W31" s="98"/>
      <c r="X31" s="98"/>
      <c r="Y31" s="98"/>
      <c r="Z31" s="99"/>
    </row>
    <row r="32" spans="1:28" s="43" customFormat="1" ht="18" x14ac:dyDescent="0.35">
      <c r="A32" s="78"/>
      <c r="B32" s="120"/>
      <c r="C32" s="120"/>
      <c r="D32" s="120"/>
      <c r="E32" s="120"/>
      <c r="F32" s="120"/>
      <c r="G32" s="120"/>
      <c r="H32" s="120"/>
      <c r="I32" s="120"/>
      <c r="J32" s="96"/>
      <c r="K32" s="96"/>
      <c r="L32" s="96"/>
      <c r="M32" s="96"/>
      <c r="N32" s="96"/>
      <c r="O32" s="96"/>
      <c r="P32" s="97"/>
      <c r="Q32" s="97"/>
      <c r="R32" s="97"/>
      <c r="S32" s="97"/>
      <c r="T32" s="97"/>
      <c r="U32" s="97"/>
      <c r="V32" s="97"/>
      <c r="W32" s="98"/>
      <c r="X32" s="98"/>
      <c r="Y32" s="98"/>
      <c r="Z32" s="99"/>
    </row>
    <row r="33" spans="1:27" s="43" customFormat="1" ht="18" x14ac:dyDescent="0.35">
      <c r="A33" s="78"/>
      <c r="B33" s="119"/>
      <c r="C33" s="119"/>
      <c r="D33" s="119"/>
      <c r="E33" s="119"/>
      <c r="F33" s="119"/>
      <c r="G33" s="119"/>
      <c r="H33" s="119"/>
      <c r="I33" s="119"/>
      <c r="J33" s="96"/>
      <c r="K33" s="96"/>
      <c r="L33" s="96"/>
      <c r="M33" s="96"/>
      <c r="N33" s="96"/>
      <c r="O33" s="96"/>
      <c r="P33" s="97"/>
      <c r="Q33" s="97"/>
      <c r="R33" s="97"/>
      <c r="S33" s="97"/>
      <c r="T33" s="97"/>
      <c r="U33" s="97"/>
      <c r="V33" s="97"/>
      <c r="W33" s="98"/>
      <c r="X33" s="98"/>
      <c r="Y33" s="98"/>
      <c r="Z33" s="99"/>
    </row>
    <row r="34" spans="1:27" s="77" customFormat="1" ht="15" customHeight="1" x14ac:dyDescent="0.25">
      <c r="A34" s="212" t="s">
        <v>35</v>
      </c>
      <c r="B34" s="212"/>
      <c r="C34" s="212"/>
      <c r="D34" s="212"/>
      <c r="E34" s="212"/>
      <c r="F34" s="212"/>
      <c r="G34" s="212"/>
      <c r="H34" s="212"/>
      <c r="I34" s="212"/>
      <c r="J34" s="212"/>
      <c r="K34" s="212" t="s">
        <v>36</v>
      </c>
      <c r="L34" s="212"/>
      <c r="M34" s="212"/>
      <c r="N34" s="212"/>
      <c r="O34" s="212"/>
      <c r="P34" s="212"/>
      <c r="Q34" s="212"/>
      <c r="R34" s="212"/>
      <c r="S34" s="212"/>
      <c r="T34" s="212" t="s">
        <v>37</v>
      </c>
      <c r="U34" s="212"/>
      <c r="V34" s="212"/>
      <c r="W34" s="212"/>
      <c r="X34" s="212"/>
      <c r="Y34" s="212"/>
      <c r="Z34" s="212"/>
    </row>
    <row r="35" spans="1:27" x14ac:dyDescent="0.3">
      <c r="A35" s="255"/>
      <c r="B35" s="255"/>
      <c r="C35" s="255"/>
      <c r="D35" s="255"/>
      <c r="E35" s="255"/>
      <c r="F35" s="255"/>
      <c r="G35" s="255"/>
      <c r="H35" s="255"/>
      <c r="I35" s="255"/>
      <c r="J35" s="255"/>
      <c r="K35" s="255"/>
      <c r="L35" s="255"/>
      <c r="M35" s="255"/>
      <c r="N35" s="255"/>
      <c r="O35" s="255"/>
      <c r="P35" s="255"/>
      <c r="Q35" s="255"/>
      <c r="R35" s="255"/>
      <c r="S35" s="255"/>
      <c r="T35" s="271"/>
      <c r="U35" s="271"/>
      <c r="V35" s="271"/>
      <c r="W35" s="271"/>
      <c r="X35" s="271"/>
      <c r="Y35" s="271"/>
      <c r="Z35" s="271"/>
    </row>
    <row r="36" spans="1:27" s="86" customFormat="1" ht="18" x14ac:dyDescent="0.35">
      <c r="A36" s="272" t="str">
        <f>IF(UPPER(Subject_Info!B7)="","",UPPER(Subject_Info!B7))</f>
        <v/>
      </c>
      <c r="B36" s="272"/>
      <c r="C36" s="272"/>
      <c r="D36" s="272"/>
      <c r="E36" s="272"/>
      <c r="F36" s="272"/>
      <c r="G36" s="272"/>
      <c r="H36" s="272"/>
      <c r="I36" s="272"/>
      <c r="J36" s="272"/>
      <c r="K36" s="272" t="str">
        <f>IF(UPPER(Subject_Info!B8)="","",UPPER(Subject_Info!B8))</f>
        <v/>
      </c>
      <c r="L36" s="272"/>
      <c r="M36" s="272"/>
      <c r="N36" s="272"/>
      <c r="O36" s="272"/>
      <c r="P36" s="272"/>
      <c r="Q36" s="272"/>
      <c r="R36" s="272"/>
      <c r="S36" s="272"/>
      <c r="T36" s="272" t="str">
        <f>IF((Subject_Info!B9)="","",(Subject_Info!B9))</f>
        <v/>
      </c>
      <c r="U36" s="272"/>
      <c r="V36" s="272"/>
      <c r="W36" s="272"/>
      <c r="X36" s="272"/>
      <c r="Y36" s="272"/>
      <c r="Z36" s="272"/>
    </row>
    <row r="37" spans="1:27" s="87" customFormat="1" ht="15" customHeight="1" x14ac:dyDescent="0.3">
      <c r="A37" s="210" t="s">
        <v>38</v>
      </c>
      <c r="B37" s="210"/>
      <c r="C37" s="210"/>
      <c r="D37" s="210"/>
      <c r="E37" s="210"/>
      <c r="F37" s="210"/>
      <c r="G37" s="210"/>
      <c r="H37" s="210"/>
      <c r="I37" s="210"/>
      <c r="J37" s="210"/>
      <c r="K37" s="210" t="s">
        <v>39</v>
      </c>
      <c r="L37" s="210"/>
      <c r="M37" s="210"/>
      <c r="N37" s="210"/>
      <c r="O37" s="210"/>
      <c r="P37" s="210"/>
      <c r="Q37" s="210"/>
      <c r="R37" s="210"/>
      <c r="S37" s="210"/>
      <c r="T37" s="270" t="s">
        <v>40</v>
      </c>
      <c r="U37" s="271"/>
      <c r="V37" s="271"/>
      <c r="W37" s="271"/>
      <c r="X37" s="271"/>
      <c r="Y37" s="271"/>
      <c r="Z37" s="271"/>
    </row>
    <row r="43" spans="1:27" x14ac:dyDescent="0.3">
      <c r="Z43" s="271"/>
      <c r="AA43" s="271"/>
    </row>
    <row r="44" spans="1:27" x14ac:dyDescent="0.3">
      <c r="Z44" s="255"/>
      <c r="AA44" s="255"/>
    </row>
    <row r="45" spans="1:27" ht="18" x14ac:dyDescent="0.35">
      <c r="Z45" s="273"/>
      <c r="AA45" s="273"/>
    </row>
    <row r="46" spans="1:27" x14ac:dyDescent="0.3">
      <c r="Z46" s="270"/>
      <c r="AA46" s="270"/>
    </row>
  </sheetData>
  <sheetProtection selectLockedCells="1"/>
  <mergeCells count="116">
    <mergeCell ref="W23:Y23"/>
    <mergeCell ref="J17:L17"/>
    <mergeCell ref="T16:V16"/>
    <mergeCell ref="P16:S16"/>
    <mergeCell ref="W18:Y18"/>
    <mergeCell ref="W20:Y20"/>
    <mergeCell ref="W22:Y22"/>
    <mergeCell ref="W15:Y15"/>
    <mergeCell ref="P15:S15"/>
    <mergeCell ref="T15:V15"/>
    <mergeCell ref="M15:O15"/>
    <mergeCell ref="A9:Z9"/>
    <mergeCell ref="A10:A12"/>
    <mergeCell ref="W16:Y16"/>
    <mergeCell ref="J13:L13"/>
    <mergeCell ref="M13:O13"/>
    <mergeCell ref="M14:O14"/>
    <mergeCell ref="P14:S14"/>
    <mergeCell ref="T14:V14"/>
    <mergeCell ref="P13:S13"/>
    <mergeCell ref="T13:V13"/>
    <mergeCell ref="W13:Y13"/>
    <mergeCell ref="W14:Y14"/>
    <mergeCell ref="Z46:AA46"/>
    <mergeCell ref="A35:J35"/>
    <mergeCell ref="T37:Z37"/>
    <mergeCell ref="A37:J37"/>
    <mergeCell ref="K37:S37"/>
    <mergeCell ref="K35:S35"/>
    <mergeCell ref="K36:S36"/>
    <mergeCell ref="T35:Z35"/>
    <mergeCell ref="T36:Z36"/>
    <mergeCell ref="A36:J36"/>
    <mergeCell ref="Z43:AA43"/>
    <mergeCell ref="Z44:AA44"/>
    <mergeCell ref="Z45:AA45"/>
    <mergeCell ref="F7:L7"/>
    <mergeCell ref="A34:J34"/>
    <mergeCell ref="K34:S34"/>
    <mergeCell ref="T34:Z34"/>
    <mergeCell ref="B24:I24"/>
    <mergeCell ref="B14:I14"/>
    <mergeCell ref="B15:I15"/>
    <mergeCell ref="B16:I16"/>
    <mergeCell ref="T24:V24"/>
    <mergeCell ref="W24:Y24"/>
    <mergeCell ref="J24:L24"/>
    <mergeCell ref="M24:O24"/>
    <mergeCell ref="P24:S24"/>
    <mergeCell ref="M17:O17"/>
    <mergeCell ref="P17:S17"/>
    <mergeCell ref="T17:V17"/>
    <mergeCell ref="W17:Y17"/>
    <mergeCell ref="B17:I17"/>
    <mergeCell ref="B13:I13"/>
    <mergeCell ref="A8:E8"/>
    <mergeCell ref="J16:L16"/>
    <mergeCell ref="M16:O16"/>
    <mergeCell ref="J14:L14"/>
    <mergeCell ref="J15:L15"/>
    <mergeCell ref="A1:Z1"/>
    <mergeCell ref="A2:Z2"/>
    <mergeCell ref="A3:Z3"/>
    <mergeCell ref="A4:Z4"/>
    <mergeCell ref="W10:Y12"/>
    <mergeCell ref="T10:V12"/>
    <mergeCell ref="P10:S12"/>
    <mergeCell ref="Z10:Z12"/>
    <mergeCell ref="J10:L12"/>
    <mergeCell ref="M10:O12"/>
    <mergeCell ref="Q6:U6"/>
    <mergeCell ref="Q7:U7"/>
    <mergeCell ref="Q8:U8"/>
    <mergeCell ref="B10:I12"/>
    <mergeCell ref="M7:P7"/>
    <mergeCell ref="M8:P8"/>
    <mergeCell ref="A5:Z5"/>
    <mergeCell ref="F8:L8"/>
    <mergeCell ref="V7:Y7"/>
    <mergeCell ref="V6:Y6"/>
    <mergeCell ref="A7:E7"/>
    <mergeCell ref="A6:E6"/>
    <mergeCell ref="V8:Y8"/>
    <mergeCell ref="F6:L6"/>
    <mergeCell ref="B19:I19"/>
    <mergeCell ref="J19:L19"/>
    <mergeCell ref="M19:O19"/>
    <mergeCell ref="P19:S19"/>
    <mergeCell ref="T19:V19"/>
    <mergeCell ref="W19:Y19"/>
    <mergeCell ref="B18:I18"/>
    <mergeCell ref="J18:L18"/>
    <mergeCell ref="M18:O18"/>
    <mergeCell ref="P18:S18"/>
    <mergeCell ref="T18:V18"/>
    <mergeCell ref="B21:I21"/>
    <mergeCell ref="J21:L21"/>
    <mergeCell ref="M21:O21"/>
    <mergeCell ref="P21:S21"/>
    <mergeCell ref="T21:V21"/>
    <mergeCell ref="W21:Y21"/>
    <mergeCell ref="B20:I20"/>
    <mergeCell ref="J20:L20"/>
    <mergeCell ref="M20:O20"/>
    <mergeCell ref="P20:S20"/>
    <mergeCell ref="T20:V20"/>
    <mergeCell ref="B22:I22"/>
    <mergeCell ref="J22:L22"/>
    <mergeCell ref="M22:O22"/>
    <mergeCell ref="P22:S22"/>
    <mergeCell ref="T22:V22"/>
    <mergeCell ref="B23:I23"/>
    <mergeCell ref="J23:L23"/>
    <mergeCell ref="M23:O23"/>
    <mergeCell ref="P23:S23"/>
    <mergeCell ref="T23:V23"/>
  </mergeCells>
  <conditionalFormatting sqref="A2:I3">
    <cfRule type="cellIs" dxfId="9" priority="38" stopIfTrue="1" operator="greaterThan">
      <formula>0</formula>
    </cfRule>
  </conditionalFormatting>
  <conditionalFormatting sqref="J16:V17 J13:Y14 J24:Y33 W15:Y23">
    <cfRule type="cellIs" dxfId="8" priority="37" operator="lessThan">
      <formula>75</formula>
    </cfRule>
  </conditionalFormatting>
  <conditionalFormatting sqref="Z16:Z17 Z13:Z14 Z24:Z33">
    <cfRule type="cellIs" dxfId="7" priority="36" operator="equal">
      <formula>"Failed"</formula>
    </cfRule>
  </conditionalFormatting>
  <conditionalFormatting sqref="A5:I5">
    <cfRule type="cellIs" dxfId="6" priority="35" stopIfTrue="1" operator="lessThan">
      <formula>75</formula>
    </cfRule>
  </conditionalFormatting>
  <conditionalFormatting sqref="A5:I5">
    <cfRule type="cellIs" dxfId="5" priority="34" stopIfTrue="1" operator="greaterThan">
      <formula>0</formula>
    </cfRule>
  </conditionalFormatting>
  <conditionalFormatting sqref="A4:I4">
    <cfRule type="cellIs" dxfId="4" priority="33" stopIfTrue="1" operator="greaterThan">
      <formula>0</formula>
    </cfRule>
  </conditionalFormatting>
  <conditionalFormatting sqref="J15:V15">
    <cfRule type="cellIs" dxfId="3" priority="30" operator="lessThan">
      <formula>75</formula>
    </cfRule>
  </conditionalFormatting>
  <conditionalFormatting sqref="Z15">
    <cfRule type="cellIs" dxfId="2" priority="29" operator="equal">
      <formula>"Failed"</formula>
    </cfRule>
  </conditionalFormatting>
  <conditionalFormatting sqref="J18:V23">
    <cfRule type="cellIs" dxfId="1" priority="28" operator="lessThan">
      <formula>75</formula>
    </cfRule>
  </conditionalFormatting>
  <conditionalFormatting sqref="Z18:Z23">
    <cfRule type="cellIs" dxfId="0" priority="27" operator="equal">
      <formula>"Failed"</formula>
    </cfRule>
  </conditionalFormatting>
  <dataValidations count="1">
    <dataValidation operator="lessThanOrEqual" allowBlank="1" showInputMessage="1" error="Value exceeded highest score or invalid." sqref="J13:Z33"/>
  </dataValidations>
  <printOptions horizontalCentered="1"/>
  <pageMargins left="0.2" right="0.2" top="1" bottom="0.25" header="0.3" footer="0.3"/>
  <pageSetup scale="95" orientation="portrait" horizontalDpi="4294967294" verticalDpi="0" r:id="rId1"/>
  <ignoredErrors>
    <ignoredError sqref="Q7:U8 J17:L17 J16:L16 J14:L14 Z14 Z16 W13:Y13 W14:Y14 W15:Y18 W19:Y20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Subject_Info</vt:lpstr>
      <vt:lpstr>Record</vt:lpstr>
      <vt:lpstr>Prelim</vt:lpstr>
      <vt:lpstr>Midterm</vt:lpstr>
      <vt:lpstr>Prefinal</vt:lpstr>
      <vt:lpstr>Final</vt:lpstr>
      <vt:lpstr>Average_Final</vt:lpstr>
      <vt:lpstr>Average_Final!Print_Area</vt:lpstr>
      <vt:lpstr>Final!Print_Area</vt:lpstr>
      <vt:lpstr>Midterm!Print_Area</vt:lpstr>
      <vt:lpstr>Prefinal!Print_Area</vt:lpstr>
      <vt:lpstr>Prelim!Print_Area</vt:lpstr>
      <vt:lpstr>Record!Print_Area</vt:lpstr>
      <vt:lpstr>Subject_Info!Print_Area</vt:lpstr>
      <vt:lpstr>Final!Print_Titles</vt:lpstr>
      <vt:lpstr>Midterm!Print_Titles</vt:lpstr>
      <vt:lpstr>Prefinal!Print_Titles</vt:lpstr>
      <vt:lpstr>Prelim!Print_Titles</vt:lpstr>
      <vt:lpstr>Record!Print_Titles</vt:lpstr>
      <vt:lpstr>Subject_Info!Print_Titles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Jennifer Pido</cp:lastModifiedBy>
  <cp:lastPrinted>2025-05-14T07:23:31Z</cp:lastPrinted>
  <dcterms:created xsi:type="dcterms:W3CDTF">2017-08-02T01:38:33Z</dcterms:created>
  <dcterms:modified xsi:type="dcterms:W3CDTF">2025-05-14T07:25:37Z</dcterms:modified>
</cp:coreProperties>
</file>